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ohamedaminedardour/Desktop/Med Amine/"/>
    </mc:Choice>
  </mc:AlternateContent>
  <xr:revisionPtr revIDLastSave="0" documentId="13_ncr:1_{9BDB10FA-A0A2-9649-82BF-50BF211CE696}" xr6:coauthVersionLast="47" xr6:coauthVersionMax="47" xr10:uidLastSave="{00000000-0000-0000-0000-000000000000}"/>
  <bookViews>
    <workbookView xWindow="0" yWindow="600" windowWidth="28800" windowHeight="16140" activeTab="1" xr2:uid="{4C064C53-0768-4272-8CE8-2855D3990288}"/>
  </bookViews>
  <sheets>
    <sheet name="January" sheetId="1" r:id="rId1"/>
    <sheet name="February" sheetId="2" r:id="rId2"/>
    <sheet name="March" sheetId="3" r:id="rId3"/>
    <sheet name="April" sheetId="4" r:id="rId4"/>
    <sheet name="May" sheetId="7" r:id="rId5"/>
    <sheet name="June" sheetId="8" r:id="rId6"/>
    <sheet name="July" sheetId="11" r:id="rId7"/>
    <sheet name="August" sheetId="12" r:id="rId8"/>
    <sheet name="Septembre" sheetId="13" r:id="rId9"/>
    <sheet name="October" sheetId="14" r:id="rId10"/>
    <sheet name="Novembre" sheetId="15" r:id="rId11"/>
    <sheet name="December" sheetId="16" r:id="rId12"/>
    <sheet name="BALANCE" sheetId="5" r:id="rId13"/>
    <sheet name="the cash register" sheetId="6" r:id="rId14"/>
    <sheet name="Report" sheetId="10" r:id="rId15"/>
    <sheet name="Fiche de Police" sheetId="9" r:id="rId16"/>
  </sheet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4" i="4" l="1"/>
  <c r="E34" i="4"/>
  <c r="H34" i="4"/>
  <c r="K34" i="4"/>
  <c r="N34" i="4"/>
  <c r="Q34" i="4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H35" i="14"/>
  <c r="C22" i="6" a="1"/>
  <c r="C22" i="6" s="1"/>
  <c r="D22" i="6" a="1"/>
  <c r="D22" i="6" s="1"/>
  <c r="D23" i="6" a="1"/>
  <c r="D23" i="6" s="1"/>
  <c r="H8" i="5"/>
  <c r="B2" i="5"/>
  <c r="T5" i="13"/>
  <c r="T6" i="13"/>
  <c r="T7" i="13"/>
  <c r="T8" i="13"/>
  <c r="T9" i="13"/>
  <c r="T10" i="13"/>
  <c r="T11" i="13"/>
  <c r="T12" i="13"/>
  <c r="T13" i="13"/>
  <c r="T14" i="13"/>
  <c r="T15" i="13"/>
  <c r="T16" i="13"/>
  <c r="T17" i="13"/>
  <c r="T18" i="13"/>
  <c r="T19" i="13"/>
  <c r="T20" i="13"/>
  <c r="T21" i="13"/>
  <c r="T22" i="13"/>
  <c r="T23" i="13"/>
  <c r="T24" i="13"/>
  <c r="T25" i="13"/>
  <c r="T26" i="13"/>
  <c r="T27" i="13"/>
  <c r="T28" i="13"/>
  <c r="T29" i="13"/>
  <c r="T30" i="13"/>
  <c r="T31" i="13"/>
  <c r="T32" i="13"/>
  <c r="T33" i="13"/>
  <c r="T4" i="13"/>
  <c r="T5" i="12"/>
  <c r="T6" i="12"/>
  <c r="T7" i="12"/>
  <c r="T8" i="12"/>
  <c r="T9" i="12"/>
  <c r="T10" i="12"/>
  <c r="T11" i="12"/>
  <c r="T12" i="12"/>
  <c r="T13" i="12"/>
  <c r="T14" i="12"/>
  <c r="T15" i="12"/>
  <c r="T16" i="12"/>
  <c r="T17" i="12"/>
  <c r="T18" i="12"/>
  <c r="T19" i="12"/>
  <c r="T20" i="12"/>
  <c r="T21" i="12"/>
  <c r="T22" i="12"/>
  <c r="T23" i="12"/>
  <c r="T24" i="12"/>
  <c r="T25" i="12"/>
  <c r="T26" i="12"/>
  <c r="T27" i="12"/>
  <c r="T28" i="12"/>
  <c r="T29" i="12"/>
  <c r="T30" i="12"/>
  <c r="T31" i="12"/>
  <c r="T32" i="12"/>
  <c r="T33" i="12"/>
  <c r="T34" i="12"/>
  <c r="T4" i="12"/>
  <c r="T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4" i="11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4" i="8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4" i="7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4" i="4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4" i="3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4" i="1"/>
  <c r="Q35" i="16"/>
  <c r="N35" i="16"/>
  <c r="K35" i="16"/>
  <c r="H35" i="16"/>
  <c r="E35" i="16"/>
  <c r="B35" i="16"/>
  <c r="T34" i="16"/>
  <c r="T33" i="16"/>
  <c r="T32" i="16"/>
  <c r="T31" i="16"/>
  <c r="T30" i="16"/>
  <c r="T29" i="16"/>
  <c r="T28" i="16"/>
  <c r="T27" i="16"/>
  <c r="T26" i="16"/>
  <c r="T25" i="16"/>
  <c r="T24" i="16"/>
  <c r="T23" i="16"/>
  <c r="T22" i="16"/>
  <c r="T21" i="16"/>
  <c r="T20" i="16"/>
  <c r="T19" i="16"/>
  <c r="T18" i="16"/>
  <c r="T17" i="16"/>
  <c r="T16" i="16"/>
  <c r="T15" i="16"/>
  <c r="T14" i="16"/>
  <c r="T13" i="16"/>
  <c r="T12" i="16"/>
  <c r="T11" i="16"/>
  <c r="T10" i="16"/>
  <c r="T9" i="16"/>
  <c r="T8" i="16"/>
  <c r="T7" i="16"/>
  <c r="T6" i="16"/>
  <c r="T5" i="16"/>
  <c r="T4" i="16"/>
  <c r="Q34" i="15"/>
  <c r="N34" i="15"/>
  <c r="K34" i="15"/>
  <c r="H34" i="15"/>
  <c r="E34" i="15"/>
  <c r="B34" i="15"/>
  <c r="T33" i="15"/>
  <c r="T32" i="15"/>
  <c r="T31" i="15"/>
  <c r="T30" i="15"/>
  <c r="T29" i="15"/>
  <c r="T28" i="15"/>
  <c r="T27" i="15"/>
  <c r="T26" i="15"/>
  <c r="T25" i="15"/>
  <c r="T24" i="15"/>
  <c r="T23" i="15"/>
  <c r="T22" i="15"/>
  <c r="T21" i="15"/>
  <c r="T20" i="15"/>
  <c r="T19" i="15"/>
  <c r="T18" i="15"/>
  <c r="T17" i="15"/>
  <c r="T16" i="15"/>
  <c r="T15" i="15"/>
  <c r="T14" i="15"/>
  <c r="T13" i="15"/>
  <c r="T12" i="15"/>
  <c r="T11" i="15"/>
  <c r="T10" i="15"/>
  <c r="T9" i="15"/>
  <c r="T8" i="15"/>
  <c r="T7" i="15"/>
  <c r="T6" i="15"/>
  <c r="T5" i="15"/>
  <c r="T4" i="15"/>
  <c r="T5" i="14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T25" i="14"/>
  <c r="T26" i="14"/>
  <c r="T27" i="14"/>
  <c r="T28" i="14"/>
  <c r="T29" i="14"/>
  <c r="T30" i="14"/>
  <c r="T31" i="14"/>
  <c r="T32" i="14"/>
  <c r="T33" i="14"/>
  <c r="T34" i="14"/>
  <c r="T4" i="14"/>
  <c r="Q35" i="14"/>
  <c r="N35" i="14"/>
  <c r="K35" i="14"/>
  <c r="E35" i="14"/>
  <c r="B35" i="14"/>
  <c r="H7" i="5"/>
  <c r="B28" i="6"/>
  <c r="C23" i="6" a="1"/>
  <c r="C23" i="6" s="1"/>
  <c r="I20" i="6"/>
  <c r="F68" i="10" s="1"/>
  <c r="D14" i="6"/>
  <c r="F38" i="10" s="1"/>
  <c r="C14" i="6"/>
  <c r="D38" i="10" s="1"/>
  <c r="Q35" i="12"/>
  <c r="N35" i="12"/>
  <c r="K35" i="12"/>
  <c r="H35" i="12"/>
  <c r="E35" i="12"/>
  <c r="B35" i="12"/>
  <c r="Q34" i="13"/>
  <c r="N34" i="13"/>
  <c r="K34" i="13"/>
  <c r="H34" i="13"/>
  <c r="E34" i="13"/>
  <c r="B34" i="13"/>
  <c r="K35" i="11"/>
  <c r="C40" i="10"/>
  <c r="D40" i="10"/>
  <c r="B35" i="11"/>
  <c r="E35" i="11"/>
  <c r="H35" i="11"/>
  <c r="N35" i="11"/>
  <c r="Q35" i="11"/>
  <c r="F29" i="10"/>
  <c r="F30" i="10"/>
  <c r="F31" i="10"/>
  <c r="F32" i="10"/>
  <c r="F33" i="10"/>
  <c r="F34" i="10"/>
  <c r="F35" i="10"/>
  <c r="F36" i="10"/>
  <c r="F37" i="10"/>
  <c r="F28" i="10"/>
  <c r="D29" i="10"/>
  <c r="D30" i="10"/>
  <c r="D31" i="10"/>
  <c r="D32" i="10"/>
  <c r="D33" i="10"/>
  <c r="D34" i="10"/>
  <c r="D35" i="10"/>
  <c r="D36" i="10"/>
  <c r="D37" i="10"/>
  <c r="D28" i="10"/>
  <c r="F52" i="10"/>
  <c r="D53" i="10"/>
  <c r="E53" i="10"/>
  <c r="F53" i="10"/>
  <c r="D54" i="10"/>
  <c r="E54" i="10"/>
  <c r="F54" i="10"/>
  <c r="D55" i="10"/>
  <c r="E55" i="10"/>
  <c r="F55" i="10"/>
  <c r="D56" i="10"/>
  <c r="E56" i="10"/>
  <c r="F56" i="10"/>
  <c r="D57" i="10"/>
  <c r="E57" i="10"/>
  <c r="F57" i="10"/>
  <c r="D58" i="10"/>
  <c r="E58" i="10"/>
  <c r="F58" i="10"/>
  <c r="D59" i="10"/>
  <c r="E59" i="10"/>
  <c r="F59" i="10"/>
  <c r="D60" i="10"/>
  <c r="E60" i="10"/>
  <c r="F60" i="10"/>
  <c r="D61" i="10"/>
  <c r="E61" i="10"/>
  <c r="F61" i="10"/>
  <c r="D62" i="10"/>
  <c r="E62" i="10"/>
  <c r="F62" i="10"/>
  <c r="D63" i="10"/>
  <c r="E63" i="10"/>
  <c r="F63" i="10"/>
  <c r="D64" i="10"/>
  <c r="E64" i="10"/>
  <c r="F64" i="10"/>
  <c r="D65" i="10"/>
  <c r="E65" i="10"/>
  <c r="F65" i="10"/>
  <c r="D66" i="10"/>
  <c r="E66" i="10"/>
  <c r="F66" i="10"/>
  <c r="D67" i="10"/>
  <c r="E67" i="10"/>
  <c r="F67" i="10"/>
  <c r="D52" i="10"/>
  <c r="E52" i="10"/>
  <c r="C52" i="10"/>
  <c r="C74" i="10"/>
  <c r="D43" i="10"/>
  <c r="D24" i="10"/>
  <c r="F20" i="10"/>
  <c r="Q34" i="8"/>
  <c r="Q35" i="7"/>
  <c r="Q32" i="2"/>
  <c r="C5" i="9"/>
  <c r="Q35" i="3"/>
  <c r="B35" i="3"/>
  <c r="N34" i="8"/>
  <c r="K34" i="8"/>
  <c r="H34" i="8"/>
  <c r="E34" i="8"/>
  <c r="B34" i="8"/>
  <c r="N35" i="7"/>
  <c r="K35" i="7"/>
  <c r="H35" i="7"/>
  <c r="E35" i="7"/>
  <c r="B35" i="7"/>
  <c r="N35" i="3"/>
  <c r="K35" i="3"/>
  <c r="H35" i="3"/>
  <c r="E35" i="3"/>
  <c r="N32" i="2"/>
  <c r="K32" i="2"/>
  <c r="H32" i="2"/>
  <c r="E32" i="2"/>
  <c r="B32" i="2"/>
  <c r="T35" i="1" l="1"/>
  <c r="T35" i="16"/>
  <c r="T34" i="15"/>
  <c r="T35" i="14"/>
  <c r="T34" i="13"/>
  <c r="T35" i="11"/>
  <c r="T35" i="12"/>
  <c r="C28" i="6"/>
  <c r="T34" i="8"/>
  <c r="T32" i="2"/>
  <c r="T35" i="7"/>
  <c r="T34" i="4"/>
  <c r="T35" i="3"/>
  <c r="E43" i="10" l="1"/>
  <c r="C3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Mohamed Amine Dardour</author>
  </authors>
  <commentList>
    <comment ref="H5" authorId="0" shapeId="0" xr:uid="{A3B6122B-C2C0-2846-BB1B-646B6099153C}">
      <text>
        <r>
          <rPr>
            <b/>
            <sz val="10"/>
            <color rgb="FF000000"/>
            <rFont val="Tahoma"/>
            <family val="2"/>
          </rPr>
          <t>Mohamed Amine Dardour: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kaytsal had nhar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<sst xmlns="http://schemas.openxmlformats.org/spreadsheetml/2006/main" count="918" uniqueCount="218">
  <si>
    <t>DATE</t>
  </si>
  <si>
    <t>Name</t>
  </si>
  <si>
    <t>Amont</t>
  </si>
  <si>
    <t>CA/Vr</t>
  </si>
  <si>
    <t>City Center 5B</t>
  </si>
  <si>
    <t>HP 10TH N°11 - 1 ROOM</t>
  </si>
  <si>
    <t>HR 10TH N°13 - 2 ROOM</t>
  </si>
  <si>
    <t>HR 12TH N°11 - 1 ROOM</t>
  </si>
  <si>
    <t>HR 09TH N°05 - 2 ROOM</t>
  </si>
  <si>
    <t>Hilton</t>
  </si>
  <si>
    <t>Total</t>
  </si>
  <si>
    <t>Total per month</t>
  </si>
  <si>
    <t>airbnb</t>
  </si>
  <si>
    <t>Date</t>
  </si>
  <si>
    <t>Type</t>
  </si>
  <si>
    <t>Back</t>
  </si>
  <si>
    <t>joe Blinder</t>
  </si>
  <si>
    <t xml:space="preserve">airbnb </t>
  </si>
  <si>
    <t xml:space="preserve">francisco sanchez </t>
  </si>
  <si>
    <t xml:space="preserve">Mohsen Shoar </t>
  </si>
  <si>
    <t>Mehdi Benaissa</t>
  </si>
  <si>
    <t xml:space="preserve">Airbnb </t>
  </si>
  <si>
    <t>KAMAL APRT</t>
  </si>
  <si>
    <t>Bader Humaid</t>
  </si>
  <si>
    <t>Airbnb</t>
  </si>
  <si>
    <t>Bank transfer</t>
  </si>
  <si>
    <t>Balance to carry forward:</t>
  </si>
  <si>
    <t>COSTS</t>
  </si>
  <si>
    <t>N° APPARTEMENT</t>
  </si>
  <si>
    <t>+</t>
  </si>
  <si>
    <t>-</t>
  </si>
  <si>
    <t>Operation</t>
  </si>
  <si>
    <t>ETG 10 N°13</t>
  </si>
  <si>
    <t>ETG 9 N°8</t>
  </si>
  <si>
    <t>ETG 10 N°3</t>
  </si>
  <si>
    <t>ETG 10 N°11</t>
  </si>
  <si>
    <t>City Center N°5B</t>
  </si>
  <si>
    <t>ETG 12 N°11</t>
  </si>
  <si>
    <t>ETG 9 N°5</t>
  </si>
  <si>
    <t>TOTAL</t>
  </si>
  <si>
    <t xml:space="preserve">Balance until </t>
  </si>
  <si>
    <t>Amen Alnajim</t>
  </si>
  <si>
    <t xml:space="preserve">Djamel </t>
  </si>
  <si>
    <t>Nazzam Z</t>
  </si>
  <si>
    <t xml:space="preserve">Melodie dore </t>
  </si>
  <si>
    <t>Billy B</t>
  </si>
  <si>
    <t>BALANCE</t>
  </si>
  <si>
    <t>Yes</t>
  </si>
  <si>
    <t>Amount</t>
  </si>
  <si>
    <t>Additional charges</t>
  </si>
  <si>
    <t>Riham Hafiz</t>
  </si>
  <si>
    <t>Total/APP</t>
  </si>
  <si>
    <t>Aziz Alghamdi</t>
  </si>
  <si>
    <t>No</t>
  </si>
  <si>
    <t>Abo Mohamed</t>
  </si>
  <si>
    <t>Lucas</t>
  </si>
  <si>
    <t>Giancarlo</t>
  </si>
  <si>
    <t>FICHE D'EMBARQUEMENT / DEBARQUEMENT</t>
  </si>
  <si>
    <t>Date :</t>
  </si>
  <si>
    <t>N° Vol :</t>
  </si>
  <si>
    <t>Nom</t>
  </si>
  <si>
    <t>Last Name</t>
  </si>
  <si>
    <t>Prénom</t>
  </si>
  <si>
    <t>First Name</t>
  </si>
  <si>
    <t>Nom de jeune fille</t>
  </si>
  <si>
    <t>Maiden Name</t>
  </si>
  <si>
    <t>Date et lieu de naissance</t>
  </si>
  <si>
    <t>Date and Place of Brith</t>
  </si>
  <si>
    <t>Nationalité</t>
  </si>
  <si>
    <t>Nationality</t>
  </si>
  <si>
    <t>Pays de résidence habituelle</t>
  </si>
  <si>
    <t>Contry of usual residence</t>
  </si>
  <si>
    <t>Profession</t>
  </si>
  <si>
    <t>Occupation</t>
  </si>
  <si>
    <t>N° Passeport/Date de délivrance</t>
  </si>
  <si>
    <t>Passport#/Date of delivery</t>
  </si>
  <si>
    <t>Destination/Provenance</t>
  </si>
  <si>
    <t>Going To/Coming from</t>
  </si>
  <si>
    <t>Adress au Maroc</t>
  </si>
  <si>
    <t>Adress in Maroc</t>
  </si>
  <si>
    <t>الإسم العائلي</t>
  </si>
  <si>
    <t>الإسم الشخصي</t>
  </si>
  <si>
    <t>الاسم ما  قبل الزواج</t>
  </si>
  <si>
    <t>تاريخ و مكان الازدياد</t>
  </si>
  <si>
    <t>الجنسية</t>
  </si>
  <si>
    <t>بلد السكنى الاعتيادي</t>
  </si>
  <si>
    <t>المهنة</t>
  </si>
  <si>
    <t>رقم الجواز و تاريخ الإصدار</t>
  </si>
  <si>
    <t>الوجهة</t>
  </si>
  <si>
    <t>العنوان بالمغرب</t>
  </si>
  <si>
    <t>Jassim Albader</t>
  </si>
  <si>
    <t>Mohamed Bounasser</t>
  </si>
  <si>
    <t>Oumaima Rjf</t>
  </si>
  <si>
    <t>You Spt</t>
  </si>
  <si>
    <t>Wissam</t>
  </si>
  <si>
    <t>Samir Tarrahi</t>
  </si>
  <si>
    <t>Ahmed Tarrahi</t>
  </si>
  <si>
    <t>DOLLAR AMERICAIN</t>
  </si>
  <si>
    <t>EURO</t>
  </si>
  <si>
    <t>CODE</t>
  </si>
  <si>
    <t>CONVERTED PRICE</t>
  </si>
  <si>
    <t>FOR 1 MAD</t>
  </si>
  <si>
    <t>CURRENCY</t>
  </si>
  <si>
    <t>Amount in Euros</t>
  </si>
  <si>
    <t>Amount in Dollar</t>
  </si>
  <si>
    <t>HR 09TH N°08 - 1ROOM</t>
  </si>
  <si>
    <t>Oumeyma Hamoud</t>
  </si>
  <si>
    <t>Spence Shum</t>
  </si>
  <si>
    <t>Khaled Alqahtani</t>
  </si>
  <si>
    <t>The rest</t>
  </si>
  <si>
    <t>Amount paid</t>
  </si>
  <si>
    <t>El Mehdi Lahbib</t>
  </si>
  <si>
    <t>Amine Roki Chaoui</t>
  </si>
  <si>
    <t>Mhamed Talal</t>
  </si>
  <si>
    <t>Ghizlane Mi</t>
  </si>
  <si>
    <t>Aleksandr Bobylev</t>
  </si>
  <si>
    <t>Anas Kasmi</t>
  </si>
  <si>
    <t>Steph</t>
  </si>
  <si>
    <t>Youssef Q</t>
  </si>
  <si>
    <t>Sté IMMOBILIERE NECTAR S.A.R.L</t>
  </si>
  <si>
    <t>148 , Av. Med V imm Nectar -</t>
  </si>
  <si>
    <t xml:space="preserve">Tél :+212 773 86 35 85  Fixe :+212 531 06 84 87  </t>
  </si>
  <si>
    <t>E-mail : Nectarimmobiliere@gmail.com</t>
  </si>
  <si>
    <t>R.C : 23851 TANGER  -ICE 000534755000065</t>
  </si>
  <si>
    <t>CAISSE – GESTION DES APPARTEMENTS RH – C.CENTER</t>
  </si>
  <si>
    <t>From</t>
  </si>
  <si>
    <t>To</t>
  </si>
  <si>
    <t>Balance to carry forward :</t>
  </si>
  <si>
    <t xml:space="preserve">Additional charges : </t>
  </si>
  <si>
    <t xml:space="preserve">Capital : 2.000.000,00 DH- Siège à TANGER ,  </t>
  </si>
  <si>
    <t>The Number report :</t>
  </si>
  <si>
    <t>Khalid</t>
  </si>
  <si>
    <t>Yousra Tazur</t>
  </si>
  <si>
    <t>Moumen El Hajji</t>
  </si>
  <si>
    <t>Hicham El maghnouji</t>
  </si>
  <si>
    <t>The cash register of Hilton :</t>
  </si>
  <si>
    <t>Alamri saad ali</t>
  </si>
  <si>
    <t>KHALID</t>
  </si>
  <si>
    <t>Rayan Ben Berkane</t>
  </si>
  <si>
    <t>Fatima Ketmi</t>
  </si>
  <si>
    <t>Morad</t>
  </si>
  <si>
    <t>Yassine</t>
  </si>
  <si>
    <t>Yassin araychi</t>
  </si>
  <si>
    <t>Hakim ais</t>
  </si>
  <si>
    <t>Le reste</t>
  </si>
  <si>
    <t>Reste</t>
  </si>
  <si>
    <t>Fatma</t>
  </si>
  <si>
    <t>hanane el khoroto</t>
  </si>
  <si>
    <t>Toufik farah</t>
  </si>
  <si>
    <t>Karim Farahat</t>
  </si>
  <si>
    <t>Hussam Ali</t>
  </si>
  <si>
    <t>Mohnad almasoud</t>
  </si>
  <si>
    <t>Naji</t>
  </si>
  <si>
    <t>Abla</t>
  </si>
  <si>
    <t>El Yazid Sabih</t>
  </si>
  <si>
    <t>Saeed</t>
  </si>
  <si>
    <t>Jaber albishi</t>
  </si>
  <si>
    <t>Credit</t>
  </si>
  <si>
    <t>Actual Balance</t>
  </si>
  <si>
    <t>Hafid</t>
  </si>
  <si>
    <t>Salwa</t>
  </si>
  <si>
    <t>Meriem abourafiq</t>
  </si>
  <si>
    <t>Fahed alhammadi</t>
  </si>
  <si>
    <t>Ibrahim</t>
  </si>
  <si>
    <t>Abdulaziz naser</t>
  </si>
  <si>
    <t>Badr almuhanna</t>
  </si>
  <si>
    <t>monira</t>
  </si>
  <si>
    <t>Hajar</t>
  </si>
  <si>
    <t>Payments made by the bank account</t>
  </si>
  <si>
    <t>Mubarak salem</t>
  </si>
  <si>
    <t>Alalyani jaber</t>
  </si>
  <si>
    <t>Rashid Aarab</t>
  </si>
  <si>
    <t>Saleh abujaid</t>
  </si>
  <si>
    <t>Louis asaidi</t>
  </si>
  <si>
    <t>Ilias ramdani</t>
  </si>
  <si>
    <t>Mehdi belkhadim</t>
  </si>
  <si>
    <t>Danni redroguez</t>
  </si>
  <si>
    <t>Amr zohny</t>
  </si>
  <si>
    <t xml:space="preserve">Naual hamed </t>
  </si>
  <si>
    <t>Arnaud charamond</t>
  </si>
  <si>
    <t>Malika Mangouchi</t>
  </si>
  <si>
    <t>Ahmad Mohamad</t>
  </si>
  <si>
    <t>Ahmed</t>
  </si>
  <si>
    <t>Booking</t>
  </si>
  <si>
    <t>Rachid</t>
  </si>
  <si>
    <t>Cash</t>
  </si>
  <si>
    <t>HAJAR-SISTER</t>
  </si>
  <si>
    <t xml:space="preserve">khaled  </t>
  </si>
  <si>
    <t>Ahmed alsaeedi</t>
  </si>
  <si>
    <t>Othmane</t>
  </si>
  <si>
    <t>Rafik bensalah</t>
  </si>
  <si>
    <t>Saud alhabawdal</t>
  </si>
  <si>
    <t>Chaibia hasnan</t>
  </si>
  <si>
    <t>bader lamrini</t>
  </si>
  <si>
    <t>alvin gnahoua</t>
  </si>
  <si>
    <t>elhassane lamchichi</t>
  </si>
  <si>
    <t>nombre_ops</t>
  </si>
  <si>
    <t>total_depenses</t>
  </si>
  <si>
    <t>Al qazlan ali mohammed</t>
  </si>
  <si>
    <t xml:space="preserve">Amancio Guerero Rodriguez </t>
  </si>
  <si>
    <t>Hussein El Arousi</t>
  </si>
  <si>
    <t>Mohamed Massaad</t>
  </si>
  <si>
    <t>Ben Smires</t>
  </si>
  <si>
    <t>amir</t>
  </si>
  <si>
    <t>Iliass Marghich</t>
  </si>
  <si>
    <t xml:space="preserve">Abdullah </t>
  </si>
  <si>
    <t>Mehdi Elgalaf</t>
  </si>
  <si>
    <t>zaynab</t>
  </si>
  <si>
    <t xml:space="preserve">zaynab </t>
  </si>
  <si>
    <t>Baraa El Saharty</t>
  </si>
  <si>
    <t>Audrey Mukeba</t>
  </si>
  <si>
    <t>mohamed khalifa</t>
  </si>
  <si>
    <t>Alsalah Ali</t>
  </si>
  <si>
    <t>Rabia Benouda</t>
  </si>
  <si>
    <t>Wazier Mohamed Karim</t>
  </si>
  <si>
    <t>Aicha Zaizoun</t>
  </si>
  <si>
    <t>faisal talhaoui</t>
  </si>
  <si>
    <t>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</si>
</sst>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8" formatCode="#,##0.00\ &quot;MAD&quot;_);[Red]\(#,##0.00\ &quot;MAD&quot;\)"/>
    <numFmt numFmtId="44" formatCode="_ * #,##0.00_)\ &quot;MAD&quot;_ ;_ * \(#,##0.00\)\ &quot;MAD&quot;_ ;_ * &quot;-&quot;??_)\ &quot;MAD&quot;_ ;_ @_ "/>
    <numFmt numFmtId="164" formatCode="_-* #,##0.00\ &quot;€&quot;_-;\-* #,##0.00\ &quot;€&quot;_-;_-* &quot;-&quot;??\ &quot;€&quot;_-;_-@_-"/>
    <numFmt numFmtId="165" formatCode="_-* #,##0.00_-;\-* #,##0.00_-;_-* &quot;-&quot;??_-;_-@_-"/>
    <numFmt numFmtId="166" formatCode="_-* #,##0.00\ [$DH-380C]_-;\-* #,##0.00\ [$DH-380C]_-;_-* &quot;-&quot;??\ [$DH-380C]_-;_-@_-"/>
    <numFmt numFmtId="167" formatCode="[$-40C]mmm\-yy;@"/>
    <numFmt numFmtId="168" formatCode="_-[$$-409]* #,##0.00_ ;_-[$$-409]* \-#,##0.00\ ;_-[$$-409]* &quot;-&quot;??_ ;_-@_ "/>
    <numFmt numFmtId="169" formatCode="_-* #,##0.00\ [$€-40C]_-;\-* #,##0.00\ [$€-40C]_-;_-* &quot;-&quot;??\ [$€-40C]_-;_-@_-"/>
    <numFmt numFmtId="170" formatCode="_-* #,##0.00\ [$MAD]_-;\-* #,##0.00\ [$MAD]_-;_-* &quot;-&quot;??\ [$MAD]_-;_-@_-"/>
    <numFmt numFmtId="171" formatCode="_-* #,##0.00\ [$MAD-380C]_-;\-* #,##0.00\ [$MAD-380C]_-;_-* &quot;-&quot;??\ [$MAD-380C]_-;_-@_-"/>
    <numFmt numFmtId="172" formatCode="_ * #,##0.00_)\ [$MAD]_ ;_ * \(#,##0.00\)\ [$MAD]_ ;_ * &quot;-&quot;??_)\ [$MAD]_ ;_ @_ "/>
  </numFmts>
  <fonts count="6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2" tint="-0.749992370372631"/>
      <name val="Calibri"/>
      <family val="2"/>
      <scheme val="minor"/>
    </font>
    <font>
      <sz val="14"/>
      <color theme="2" tint="-0.74999237037263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i/>
      <u val="singleAccounting"/>
      <sz val="11"/>
      <color theme="1"/>
      <name val="Calibri"/>
      <family val="2"/>
      <scheme val="minor"/>
    </font>
    <font>
      <i/>
      <u val="singleAccounting"/>
      <sz val="11"/>
      <color theme="1"/>
      <name val="Calibri"/>
      <family val="2"/>
      <scheme val="minor"/>
    </font>
    <font>
      <sz val="10"/>
      <color theme="1"/>
      <name val="Bahnschrift"/>
      <family val="2"/>
    </font>
    <font>
      <sz val="12"/>
      <color theme="1"/>
      <name val="Bahnschrift"/>
      <family val="2"/>
    </font>
    <font>
      <u/>
      <sz val="12"/>
      <color rgb="FFFF0000"/>
      <name val="Bahnschrift"/>
      <family val="2"/>
    </font>
    <font>
      <u/>
      <sz val="12"/>
      <color theme="4" tint="-0.499984740745262"/>
      <name val="Bahnschrift"/>
      <family val="2"/>
    </font>
    <font>
      <b/>
      <i/>
      <u val="singleAccounting"/>
      <sz val="12"/>
      <color theme="4" tint="-0.499984740745262"/>
      <name val="Bahnschrift"/>
      <family val="2"/>
    </font>
    <font>
      <sz val="12"/>
      <color rgb="FF0070C0"/>
      <name val="Bahnschrift"/>
      <family val="2"/>
    </font>
    <font>
      <sz val="12"/>
      <color rgb="FFFF0000"/>
      <name val="Bahnschrift"/>
      <family val="2"/>
    </font>
    <font>
      <b/>
      <sz val="12"/>
      <color theme="1"/>
      <name val="Bahnschrift"/>
      <family val="2"/>
    </font>
    <font>
      <sz val="9"/>
      <color theme="1"/>
      <name val="Bahnschrift"/>
      <family val="2"/>
    </font>
    <font>
      <b/>
      <u/>
      <sz val="16"/>
      <color theme="5" tint="-0.499984740745262"/>
      <name val="Bahnschrift"/>
      <family val="2"/>
    </font>
    <font>
      <sz val="16"/>
      <color theme="1"/>
      <name val="Bahnschrift"/>
      <family val="2"/>
    </font>
    <font>
      <b/>
      <u/>
      <sz val="20"/>
      <color rgb="FFFF0000"/>
      <name val="Bahnschrift"/>
      <family val="2"/>
    </font>
    <font>
      <b/>
      <i/>
      <u val="singleAccounting"/>
      <sz val="16"/>
      <color theme="4" tint="-0.499984740745262"/>
      <name val="Bahnschrift"/>
      <family val="2"/>
    </font>
    <font>
      <u/>
      <sz val="12"/>
      <color theme="1"/>
      <name val="Bahnschrift"/>
      <family val="2"/>
    </font>
    <font>
      <b/>
      <u/>
      <sz val="14"/>
      <color theme="1"/>
      <name val="Bahnschrift"/>
      <family val="2"/>
    </font>
    <font>
      <u val="double"/>
      <sz val="14"/>
      <color rgb="FF7030A0"/>
      <name val="Bahnschrift"/>
      <family val="2"/>
    </font>
    <font>
      <b/>
      <sz val="16"/>
      <color theme="7" tint="-0.249977111117893"/>
      <name val="Bahnschrift"/>
      <family val="2"/>
    </font>
    <font>
      <sz val="12"/>
      <color theme="1"/>
      <name val="Batang"/>
      <family val="1"/>
      <charset val="129"/>
    </font>
    <font>
      <sz val="16"/>
      <color theme="1"/>
      <name val="Courier New"/>
      <family val="3"/>
    </font>
    <font>
      <b/>
      <i/>
      <u val="singleAccounting"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</font>
    <font>
      <b/>
      <i/>
      <sz val="20"/>
      <color rgb="FF000000"/>
      <name val="Calibri"/>
      <family val="2"/>
    </font>
    <font>
      <b/>
      <i/>
      <u/>
      <sz val="12"/>
      <color rgb="FF000000"/>
      <name val="Calibri"/>
      <family val="2"/>
    </font>
    <font>
      <b/>
      <sz val="12"/>
      <color rgb="FF000000"/>
      <name val="Aptos Narrow"/>
    </font>
    <font>
      <b/>
      <i/>
      <u/>
      <sz val="11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u/>
      <sz val="11"/>
      <color rgb="FF0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Batang"/>
      <family val="1"/>
      <charset val="129"/>
    </font>
  </fonts>
  <fills count="1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5911"/>
        <bgColor rgb="FF000000"/>
      </patternFill>
    </fill>
    <fill>
      <patternFill patternType="solid">
        <fgColor rgb="FFFFFFFF"/>
        <bgColor rgb="FF000000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505050"/>
      </right>
      <top style="medium">
        <color indexed="64"/>
      </top>
      <bottom style="thin">
        <color rgb="FF505050"/>
      </bottom>
      <diagonal/>
    </border>
    <border>
      <left style="medium">
        <color indexed="64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 style="thick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ck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ck">
        <color indexed="64"/>
      </top>
      <bottom style="double">
        <color indexed="64"/>
      </bottom>
      <diagonal/>
    </border>
    <border>
      <left/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 style="double">
        <color indexed="64"/>
      </bottom>
      <diagonal/>
    </border>
    <border>
      <left/>
      <right/>
      <top style="thick">
        <color indexed="64"/>
      </top>
      <bottom style="double">
        <color indexed="64"/>
      </bottom>
      <diagonal/>
    </border>
    <border>
      <left/>
      <right style="double">
        <color indexed="64"/>
      </right>
      <top style="thick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8" fillId="0" borderId="0" applyFont="0" applyFill="0" applyBorder="0" applyAlignment="0" applyProtection="0"/>
    <xf numFmtId="165" fontId="8" fillId="0" borderId="0" applyFont="0" applyFill="0" applyBorder="0" applyAlignment="0" applyProtection="0"/>
  </cellStyleXfs>
  <cellXfs count="363">
    <xf numFmtId="0" fontId="0" fillId="0" borderId="0" xfId="0"/>
    <xf numFmtId="0" fontId="0" fillId="0" borderId="5" xfId="0" applyBorder="1"/>
    <xf numFmtId="0" fontId="0" fillId="0" borderId="7" xfId="0" applyBorder="1"/>
    <xf numFmtId="0" fontId="0" fillId="0" borderId="14" xfId="0" applyBorder="1"/>
    <xf numFmtId="0" fontId="0" fillId="0" borderId="15" xfId="0" applyBorder="1"/>
    <xf numFmtId="0" fontId="0" fillId="0" borderId="3" xfId="0" applyBorder="1"/>
    <xf numFmtId="0" fontId="0" fillId="0" borderId="6" xfId="0" applyBorder="1"/>
    <xf numFmtId="0" fontId="0" fillId="0" borderId="17" xfId="0" applyBorder="1"/>
    <xf numFmtId="0" fontId="0" fillId="0" borderId="18" xfId="0" applyBorder="1"/>
    <xf numFmtId="0" fontId="0" fillId="0" borderId="23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166" fontId="0" fillId="0" borderId="16" xfId="0" applyNumberFormat="1" applyBorder="1"/>
    <xf numFmtId="14" fontId="2" fillId="3" borderId="19" xfId="0" applyNumberFormat="1" applyFont="1" applyFill="1" applyBorder="1" applyAlignment="1">
      <alignment horizontal="center" vertical="center"/>
    </xf>
    <xf numFmtId="0" fontId="7" fillId="0" borderId="0" xfId="0" applyFont="1"/>
    <xf numFmtId="0" fontId="5" fillId="0" borderId="8" xfId="0" applyFont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7" borderId="29" xfId="0" applyFont="1" applyFill="1" applyBorder="1"/>
    <xf numFmtId="0" fontId="4" fillId="8" borderId="0" xfId="0" applyFont="1" applyFill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/>
    </xf>
    <xf numFmtId="0" fontId="0" fillId="0" borderId="1" xfId="0" applyBorder="1"/>
    <xf numFmtId="0" fontId="0" fillId="0" borderId="24" xfId="0" applyBorder="1" applyAlignment="1">
      <alignment horizontal="center" vertical="center"/>
    </xf>
    <xf numFmtId="0" fontId="4" fillId="0" borderId="29" xfId="0" applyFont="1" applyBorder="1" applyAlignment="1">
      <alignment horizontal="right" vertical="center"/>
    </xf>
    <xf numFmtId="14" fontId="4" fillId="0" borderId="32" xfId="0" applyNumberFormat="1" applyFont="1" applyBorder="1" applyAlignment="1">
      <alignment horizontal="left" vertical="center"/>
    </xf>
    <xf numFmtId="166" fontId="4" fillId="8" borderId="2" xfId="0" applyNumberFormat="1" applyFont="1" applyFill="1" applyBorder="1"/>
    <xf numFmtId="0" fontId="0" fillId="0" borderId="37" xfId="0" applyBorder="1"/>
    <xf numFmtId="0" fontId="0" fillId="0" borderId="16" xfId="0" applyBorder="1"/>
    <xf numFmtId="0" fontId="0" fillId="0" borderId="38" xfId="0" applyBorder="1"/>
    <xf numFmtId="0" fontId="0" fillId="0" borderId="39" xfId="0" applyBorder="1"/>
    <xf numFmtId="0" fontId="0" fillId="0" borderId="41" xfId="0" applyBorder="1"/>
    <xf numFmtId="166" fontId="0" fillId="0" borderId="0" xfId="0" applyNumberFormat="1"/>
    <xf numFmtId="166" fontId="2" fillId="0" borderId="0" xfId="0" applyNumberFormat="1" applyFont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14" fontId="2" fillId="3" borderId="2" xfId="0" applyNumberFormat="1" applyFont="1" applyFill="1" applyBorder="1" applyAlignment="1">
      <alignment horizontal="center" vertical="center"/>
    </xf>
    <xf numFmtId="0" fontId="5" fillId="0" borderId="0" xfId="0" applyFont="1"/>
    <xf numFmtId="14" fontId="2" fillId="3" borderId="53" xfId="0" applyNumberFormat="1" applyFont="1" applyFill="1" applyBorder="1" applyAlignment="1">
      <alignment horizontal="center" vertical="center"/>
    </xf>
    <xf numFmtId="166" fontId="0" fillId="0" borderId="0" xfId="1" applyNumberFormat="1" applyFont="1"/>
    <xf numFmtId="0" fontId="15" fillId="0" borderId="0" xfId="0" applyFont="1"/>
    <xf numFmtId="0" fontId="15" fillId="0" borderId="15" xfId="0" applyFont="1" applyBorder="1"/>
    <xf numFmtId="0" fontId="15" fillId="0" borderId="45" xfId="0" applyFont="1" applyBorder="1"/>
    <xf numFmtId="0" fontId="15" fillId="0" borderId="46" xfId="0" applyFont="1" applyBorder="1"/>
    <xf numFmtId="0" fontId="15" fillId="0" borderId="47" xfId="0" applyFont="1" applyBorder="1"/>
    <xf numFmtId="0" fontId="15" fillId="0" borderId="37" xfId="0" applyFont="1" applyBorder="1"/>
    <xf numFmtId="0" fontId="15" fillId="0" borderId="39" xfId="0" applyFont="1" applyBorder="1"/>
    <xf numFmtId="0" fontId="15" fillId="0" borderId="20" xfId="0" applyFont="1" applyBorder="1"/>
    <xf numFmtId="0" fontId="15" fillId="0" borderId="37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48" xfId="0" applyFont="1" applyBorder="1"/>
    <xf numFmtId="0" fontId="15" fillId="0" borderId="49" xfId="0" applyFont="1" applyBorder="1"/>
    <xf numFmtId="0" fontId="15" fillId="0" borderId="50" xfId="0" applyFont="1" applyBorder="1"/>
    <xf numFmtId="0" fontId="15" fillId="0" borderId="39" xfId="0" applyFont="1" applyBorder="1" applyAlignment="1">
      <alignment horizontal="right" vertical="center"/>
    </xf>
    <xf numFmtId="0" fontId="18" fillId="0" borderId="0" xfId="0" applyFont="1" applyAlignment="1">
      <alignment horizontal="center" vertical="center"/>
    </xf>
    <xf numFmtId="14" fontId="15" fillId="0" borderId="0" xfId="0" applyNumberFormat="1" applyFont="1"/>
    <xf numFmtId="0" fontId="19" fillId="0" borderId="54" xfId="0" applyFont="1" applyBorder="1" applyAlignment="1">
      <alignment horizontal="center" vertical="center"/>
    </xf>
    <xf numFmtId="0" fontId="0" fillId="0" borderId="30" xfId="0" applyBorder="1"/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0" xfId="0" applyFont="1"/>
    <xf numFmtId="166" fontId="0" fillId="0" borderId="1" xfId="0" applyNumberFormat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9" fillId="0" borderId="0" xfId="0" applyFont="1"/>
    <xf numFmtId="166" fontId="20" fillId="0" borderId="7" xfId="0" applyNumberFormat="1" applyFont="1" applyBorder="1" applyAlignment="1">
      <alignment horizontal="center" vertical="center"/>
    </xf>
    <xf numFmtId="166" fontId="20" fillId="0" borderId="10" xfId="0" applyNumberFormat="1" applyFont="1" applyBorder="1" applyAlignment="1">
      <alignment horizontal="center" vertical="center"/>
    </xf>
    <xf numFmtId="0" fontId="6" fillId="2" borderId="0" xfId="0" applyFont="1" applyFill="1" applyAlignment="1">
      <alignment horizontal="center"/>
    </xf>
    <xf numFmtId="166" fontId="0" fillId="0" borderId="0" xfId="1" applyNumberFormat="1" applyFont="1" applyBorder="1"/>
    <xf numFmtId="0" fontId="2" fillId="0" borderId="55" xfId="0" applyFont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0" fontId="2" fillId="0" borderId="58" xfId="0" applyFont="1" applyBorder="1" applyAlignment="1">
      <alignment horizontal="center" vertical="center"/>
    </xf>
    <xf numFmtId="170" fontId="0" fillId="0" borderId="0" xfId="0" applyNumberFormat="1"/>
    <xf numFmtId="166" fontId="0" fillId="0" borderId="0" xfId="1" applyNumberFormat="1" applyFont="1" applyFill="1" applyBorder="1"/>
    <xf numFmtId="167" fontId="0" fillId="0" borderId="0" xfId="0" applyNumberFormat="1" applyAlignment="1">
      <alignment horizontal="center" vertical="center"/>
    </xf>
    <xf numFmtId="166" fontId="0" fillId="0" borderId="0" xfId="1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6" fontId="8" fillId="0" borderId="0" xfId="1" applyNumberFormat="1" applyFont="1" applyFill="1" applyBorder="1" applyAlignment="1">
      <alignment horizontal="center" vertical="center"/>
    </xf>
    <xf numFmtId="166" fontId="13" fillId="0" borderId="0" xfId="0" applyNumberFormat="1" applyFont="1"/>
    <xf numFmtId="0" fontId="21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1" fillId="0" borderId="0" xfId="0" applyFont="1"/>
    <xf numFmtId="0" fontId="23" fillId="0" borderId="1" xfId="0" applyFont="1" applyBorder="1" applyAlignment="1">
      <alignment horizontal="center" vertical="center"/>
    </xf>
    <xf numFmtId="170" fontId="23" fillId="0" borderId="1" xfId="1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170" fontId="24" fillId="0" borderId="1" xfId="1" applyNumberFormat="1" applyFont="1" applyBorder="1" applyAlignment="1">
      <alignment horizontal="center" vertical="center"/>
    </xf>
    <xf numFmtId="170" fontId="25" fillId="0" borderId="57" xfId="0" applyNumberFormat="1" applyFont="1" applyBorder="1" applyAlignment="1">
      <alignment horizontal="center" vertical="center"/>
    </xf>
    <xf numFmtId="170" fontId="26" fillId="0" borderId="0" xfId="0" applyNumberFormat="1" applyFont="1" applyAlignment="1">
      <alignment horizontal="center" vertical="center"/>
    </xf>
    <xf numFmtId="166" fontId="0" fillId="0" borderId="0" xfId="1" applyNumberFormat="1" applyFont="1" applyFill="1" applyAlignment="1">
      <alignment horizontal="center" vertical="center"/>
    </xf>
    <xf numFmtId="170" fontId="0" fillId="0" borderId="0" xfId="1" applyNumberFormat="1" applyFont="1"/>
    <xf numFmtId="0" fontId="27" fillId="0" borderId="0" xfId="0" applyFont="1"/>
    <xf numFmtId="0" fontId="27" fillId="0" borderId="0" xfId="0" applyFont="1" applyAlignment="1">
      <alignment horizontal="left" vertic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center" vertical="center"/>
    </xf>
    <xf numFmtId="14" fontId="29" fillId="0" borderId="0" xfId="0" applyNumberFormat="1" applyFont="1"/>
    <xf numFmtId="14" fontId="30" fillId="0" borderId="0" xfId="0" applyNumberFormat="1" applyFont="1"/>
    <xf numFmtId="170" fontId="31" fillId="0" borderId="0" xfId="0" applyNumberFormat="1" applyFont="1" applyAlignment="1">
      <alignment horizontal="center" vertical="center"/>
    </xf>
    <xf numFmtId="170" fontId="34" fillId="0" borderId="2" xfId="0" applyNumberFormat="1" applyFont="1" applyBorder="1" applyAlignment="1">
      <alignment horizontal="center" vertical="center"/>
    </xf>
    <xf numFmtId="0" fontId="37" fillId="0" borderId="0" xfId="0" applyFont="1"/>
    <xf numFmtId="0" fontId="34" fillId="0" borderId="0" xfId="0" applyFont="1"/>
    <xf numFmtId="0" fontId="40" fillId="0" borderId="0" xfId="0" applyFont="1" applyAlignment="1">
      <alignment horizontal="center" vertical="center"/>
    </xf>
    <xf numFmtId="0" fontId="41" fillId="0" borderId="41" xfId="0" applyFont="1" applyBorder="1" applyAlignment="1">
      <alignment horizontal="center" vertical="center"/>
    </xf>
    <xf numFmtId="166" fontId="4" fillId="0" borderId="2" xfId="0" applyNumberFormat="1" applyFont="1" applyBorder="1"/>
    <xf numFmtId="0" fontId="44" fillId="0" borderId="3" xfId="0" applyFont="1" applyBorder="1" applyAlignment="1">
      <alignment horizontal="center" vertical="center"/>
    </xf>
    <xf numFmtId="170" fontId="44" fillId="0" borderId="53" xfId="0" applyNumberFormat="1" applyFont="1" applyBorder="1" applyAlignment="1">
      <alignment horizontal="center" vertical="center"/>
    </xf>
    <xf numFmtId="0" fontId="44" fillId="0" borderId="6" xfId="0" applyFont="1" applyBorder="1" applyAlignment="1">
      <alignment horizontal="center" vertical="center"/>
    </xf>
    <xf numFmtId="170" fontId="44" fillId="0" borderId="36" xfId="0" applyNumberFormat="1" applyFont="1" applyBorder="1" applyAlignment="1">
      <alignment horizontal="center" vertical="center"/>
    </xf>
    <xf numFmtId="170" fontId="44" fillId="0" borderId="59" xfId="0" applyNumberFormat="1" applyFont="1" applyBorder="1" applyAlignment="1">
      <alignment horizontal="center" vertical="center"/>
    </xf>
    <xf numFmtId="166" fontId="46" fillId="11" borderId="1" xfId="0" applyNumberFormat="1" applyFont="1" applyFill="1" applyBorder="1" applyAlignment="1">
      <alignment horizontal="center" vertical="center"/>
    </xf>
    <xf numFmtId="0" fontId="0" fillId="0" borderId="60" xfId="0" applyBorder="1"/>
    <xf numFmtId="0" fontId="0" fillId="0" borderId="40" xfId="0" applyBorder="1"/>
    <xf numFmtId="169" fontId="47" fillId="0" borderId="0" xfId="0" applyNumberFormat="1" applyFont="1" applyAlignment="1">
      <alignment horizontal="center" vertical="center"/>
    </xf>
    <xf numFmtId="168" fontId="47" fillId="0" borderId="0" xfId="1" applyNumberFormat="1" applyFont="1"/>
    <xf numFmtId="0" fontId="48" fillId="0" borderId="18" xfId="0" applyFont="1" applyBorder="1"/>
    <xf numFmtId="0" fontId="48" fillId="0" borderId="6" xfId="0" applyFont="1" applyBorder="1"/>
    <xf numFmtId="0" fontId="48" fillId="0" borderId="17" xfId="0" applyFont="1" applyBorder="1"/>
    <xf numFmtId="0" fontId="5" fillId="5" borderId="24" xfId="0" applyFont="1" applyFill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0" fillId="0" borderId="8" xfId="0" applyBorder="1"/>
    <xf numFmtId="0" fontId="0" fillId="0" borderId="10" xfId="0" applyBorder="1"/>
    <xf numFmtId="0" fontId="0" fillId="0" borderId="61" xfId="0" applyBorder="1"/>
    <xf numFmtId="171" fontId="48" fillId="12" borderId="4" xfId="0" applyNumberFormat="1" applyFont="1" applyFill="1" applyBorder="1"/>
    <xf numFmtId="171" fontId="48" fillId="12" borderId="1" xfId="0" applyNumberFormat="1" applyFont="1" applyFill="1" applyBorder="1"/>
    <xf numFmtId="171" fontId="0" fillId="5" borderId="1" xfId="0" applyNumberFormat="1" applyFill="1" applyBorder="1"/>
    <xf numFmtId="171" fontId="0" fillId="5" borderId="11" xfId="0" applyNumberFormat="1" applyFill="1" applyBorder="1"/>
    <xf numFmtId="44" fontId="0" fillId="5" borderId="11" xfId="0" applyNumberFormat="1" applyFill="1" applyBorder="1"/>
    <xf numFmtId="44" fontId="0" fillId="5" borderId="1" xfId="0" applyNumberFormat="1" applyFill="1" applyBorder="1"/>
    <xf numFmtId="171" fontId="0" fillId="0" borderId="16" xfId="0" applyNumberFormat="1" applyBorder="1"/>
    <xf numFmtId="172" fontId="0" fillId="0" borderId="0" xfId="0" applyNumberFormat="1"/>
    <xf numFmtId="166" fontId="49" fillId="0" borderId="0" xfId="1" applyNumberFormat="1" applyFont="1"/>
    <xf numFmtId="0" fontId="48" fillId="0" borderId="19" xfId="0" applyFont="1" applyBorder="1"/>
    <xf numFmtId="0" fontId="48" fillId="0" borderId="48" xfId="0" applyFont="1" applyBorder="1"/>
    <xf numFmtId="171" fontId="48" fillId="12" borderId="9" xfId="0" applyNumberFormat="1" applyFont="1" applyFill="1" applyBorder="1"/>
    <xf numFmtId="0" fontId="0" fillId="0" borderId="50" xfId="0" applyBorder="1"/>
    <xf numFmtId="0" fontId="1" fillId="0" borderId="30" xfId="0" applyFont="1" applyBorder="1"/>
    <xf numFmtId="0" fontId="1" fillId="0" borderId="3" xfId="0" applyFont="1" applyBorder="1"/>
    <xf numFmtId="166" fontId="1" fillId="0" borderId="4" xfId="1" applyNumberFormat="1" applyFont="1" applyBorder="1" applyAlignment="1">
      <alignment horizontal="center" vertical="center"/>
    </xf>
    <xf numFmtId="166" fontId="1" fillId="0" borderId="5" xfId="1" applyNumberFormat="1" applyFont="1" applyBorder="1" applyAlignment="1">
      <alignment horizontal="center" vertical="center"/>
    </xf>
    <xf numFmtId="0" fontId="1" fillId="0" borderId="6" xfId="0" applyFont="1" applyBorder="1"/>
    <xf numFmtId="166" fontId="1" fillId="0" borderId="1" xfId="1" applyNumberFormat="1" applyFont="1" applyBorder="1" applyAlignment="1">
      <alignment horizontal="center" vertical="center"/>
    </xf>
    <xf numFmtId="166" fontId="1" fillId="0" borderId="7" xfId="1" applyNumberFormat="1" applyFont="1" applyBorder="1" applyAlignment="1">
      <alignment horizontal="center" vertical="center"/>
    </xf>
    <xf numFmtId="0" fontId="1" fillId="0" borderId="23" xfId="0" applyFont="1" applyBorder="1"/>
    <xf numFmtId="166" fontId="1" fillId="0" borderId="56" xfId="1" applyNumberFormat="1" applyFont="1" applyBorder="1" applyAlignment="1">
      <alignment horizontal="center" vertical="center"/>
    </xf>
    <xf numFmtId="166" fontId="1" fillId="0" borderId="42" xfId="1" applyNumberFormat="1" applyFont="1" applyBorder="1" applyAlignment="1">
      <alignment horizontal="center" vertical="center"/>
    </xf>
    <xf numFmtId="166" fontId="1" fillId="0" borderId="43" xfId="1" applyNumberFormat="1" applyFont="1" applyBorder="1" applyAlignment="1">
      <alignment horizontal="center" vertical="center"/>
    </xf>
    <xf numFmtId="166" fontId="1" fillId="0" borderId="0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13" fillId="0" borderId="7" xfId="0" applyFont="1" applyBorder="1"/>
    <xf numFmtId="0" fontId="48" fillId="0" borderId="40" xfId="0" applyFont="1" applyBorder="1"/>
    <xf numFmtId="0" fontId="48" fillId="0" borderId="65" xfId="0" applyFont="1" applyBorder="1"/>
    <xf numFmtId="0" fontId="48" fillId="0" borderId="66" xfId="0" applyFont="1" applyBorder="1"/>
    <xf numFmtId="0" fontId="48" fillId="0" borderId="18" xfId="0" applyFont="1" applyBorder="1" applyAlignment="1">
      <alignment wrapText="1"/>
    </xf>
    <xf numFmtId="171" fontId="0" fillId="5" borderId="4" xfId="1" applyNumberFormat="1" applyFont="1" applyFill="1" applyBorder="1"/>
    <xf numFmtId="171" fontId="0" fillId="5" borderId="1" xfId="1" applyNumberFormat="1" applyFont="1" applyFill="1" applyBorder="1"/>
    <xf numFmtId="171" fontId="0" fillId="5" borderId="9" xfId="0" applyNumberFormat="1" applyFill="1" applyBorder="1"/>
    <xf numFmtId="171" fontId="0" fillId="5" borderId="4" xfId="0" applyNumberFormat="1" applyFill="1" applyBorder="1"/>
    <xf numFmtId="171" fontId="0" fillId="5" borderId="24" xfId="0" applyNumberFormat="1" applyFill="1" applyBorder="1"/>
    <xf numFmtId="166" fontId="50" fillId="8" borderId="2" xfId="0" applyNumberFormat="1" applyFont="1" applyFill="1" applyBorder="1"/>
    <xf numFmtId="14" fontId="51" fillId="13" borderId="0" xfId="0" applyNumberFormat="1" applyFont="1" applyFill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171" fontId="56" fillId="0" borderId="1" xfId="0" applyNumberFormat="1" applyFont="1" applyBorder="1" applyAlignment="1">
      <alignment horizontal="center" vertical="center"/>
    </xf>
    <xf numFmtId="171" fontId="56" fillId="0" borderId="1" xfId="1" applyNumberFormat="1" applyFont="1" applyBorder="1" applyAlignment="1">
      <alignment horizontal="center" vertical="center"/>
    </xf>
    <xf numFmtId="0" fontId="47" fillId="0" borderId="37" xfId="0" applyFont="1" applyBorder="1" applyAlignment="1">
      <alignment wrapText="1"/>
    </xf>
    <xf numFmtId="0" fontId="48" fillId="0" borderId="3" xfId="0" applyFont="1" applyBorder="1"/>
    <xf numFmtId="171" fontId="0" fillId="0" borderId="0" xfId="0" applyNumberFormat="1"/>
    <xf numFmtId="171" fontId="9" fillId="0" borderId="0" xfId="1" applyNumberFormat="1" applyFont="1"/>
    <xf numFmtId="171" fontId="0" fillId="0" borderId="0" xfId="1" applyNumberFormat="1" applyFont="1"/>
    <xf numFmtId="44" fontId="0" fillId="0" borderId="0" xfId="0" applyNumberFormat="1"/>
    <xf numFmtId="0" fontId="0" fillId="0" borderId="80" xfId="0" applyBorder="1"/>
    <xf numFmtId="0" fontId="0" fillId="0" borderId="31" xfId="0" applyBorder="1"/>
    <xf numFmtId="0" fontId="0" fillId="0" borderId="43" xfId="0" applyBorder="1"/>
    <xf numFmtId="0" fontId="56" fillId="0" borderId="57" xfId="0" applyFont="1" applyBorder="1" applyAlignment="1">
      <alignment horizontal="center" vertical="center"/>
    </xf>
    <xf numFmtId="171" fontId="56" fillId="0" borderId="57" xfId="1" applyNumberFormat="1" applyFont="1" applyFill="1" applyBorder="1" applyAlignment="1">
      <alignment horizontal="center" vertical="center"/>
    </xf>
    <xf numFmtId="171" fontId="0" fillId="5" borderId="42" xfId="0" applyNumberFormat="1" applyFill="1" applyBorder="1"/>
    <xf numFmtId="171" fontId="0" fillId="0" borderId="53" xfId="0" applyNumberFormat="1" applyBorder="1"/>
    <xf numFmtId="0" fontId="0" fillId="11" borderId="60" xfId="0" applyFill="1" applyBorder="1"/>
    <xf numFmtId="171" fontId="0" fillId="11" borderId="11" xfId="0" applyNumberFormat="1" applyFill="1" applyBorder="1"/>
    <xf numFmtId="0" fontId="0" fillId="11" borderId="61" xfId="0" applyFill="1" applyBorder="1"/>
    <xf numFmtId="0" fontId="60" fillId="0" borderId="6" xfId="0" applyFont="1" applyBorder="1"/>
    <xf numFmtId="171" fontId="60" fillId="5" borderId="1" xfId="0" applyNumberFormat="1" applyFont="1" applyFill="1" applyBorder="1"/>
    <xf numFmtId="0" fontId="60" fillId="0" borderId="7" xfId="0" applyFont="1" applyBorder="1"/>
    <xf numFmtId="0" fontId="60" fillId="0" borderId="41" xfId="0" applyFont="1" applyBorder="1"/>
    <xf numFmtId="0" fontId="60" fillId="0" borderId="38" xfId="0" applyFont="1" applyBorder="1"/>
    <xf numFmtId="0" fontId="48" fillId="0" borderId="7" xfId="0" applyFont="1" applyBorder="1"/>
    <xf numFmtId="0" fontId="48" fillId="0" borderId="23" xfId="0" applyFont="1" applyBorder="1"/>
    <xf numFmtId="0" fontId="48" fillId="0" borderId="25" xfId="0" applyFont="1" applyBorder="1"/>
    <xf numFmtId="0" fontId="48" fillId="0" borderId="14" xfId="0" applyFont="1" applyBorder="1"/>
    <xf numFmtId="0" fontId="48" fillId="0" borderId="15" xfId="0" applyFont="1" applyBorder="1"/>
    <xf numFmtId="0" fontId="48" fillId="0" borderId="41" xfId="0" applyFont="1" applyBorder="1"/>
    <xf numFmtId="0" fontId="48" fillId="0" borderId="38" xfId="0" applyFont="1" applyBorder="1"/>
    <xf numFmtId="0" fontId="48" fillId="16" borderId="6" xfId="0" applyFont="1" applyFill="1" applyBorder="1"/>
    <xf numFmtId="0" fontId="48" fillId="0" borderId="50" xfId="0" applyFont="1" applyBorder="1"/>
    <xf numFmtId="171" fontId="48" fillId="12" borderId="24" xfId="0" applyNumberFormat="1" applyFont="1" applyFill="1" applyBorder="1"/>
    <xf numFmtId="171" fontId="48" fillId="12" borderId="11" xfId="0" applyNumberFormat="1" applyFont="1" applyFill="1" applyBorder="1"/>
    <xf numFmtId="171" fontId="13" fillId="12" borderId="1" xfId="0" applyNumberFormat="1" applyFont="1" applyFill="1" applyBorder="1"/>
    <xf numFmtId="0" fontId="48" fillId="0" borderId="49" xfId="0" applyFont="1" applyBorder="1"/>
    <xf numFmtId="0" fontId="48" fillId="0" borderId="8" xfId="0" applyFont="1" applyBorder="1"/>
    <xf numFmtId="171" fontId="0" fillId="5" borderId="22" xfId="0" applyNumberFormat="1" applyFill="1" applyBorder="1"/>
    <xf numFmtId="0" fontId="60" fillId="0" borderId="18" xfId="0" applyFont="1" applyBorder="1"/>
    <xf numFmtId="0" fontId="60" fillId="0" borderId="15" xfId="0" applyFont="1" applyBorder="1"/>
    <xf numFmtId="0" fontId="34" fillId="0" borderId="2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/>
    </xf>
    <xf numFmtId="0" fontId="61" fillId="0" borderId="6" xfId="0" applyFont="1" applyBorder="1"/>
    <xf numFmtId="171" fontId="61" fillId="5" borderId="11" xfId="0" applyNumberFormat="1" applyFont="1" applyFill="1" applyBorder="1"/>
    <xf numFmtId="0" fontId="61" fillId="0" borderId="7" xfId="0" applyFont="1" applyBorder="1"/>
    <xf numFmtId="8" fontId="0" fillId="5" borderId="11" xfId="0" applyNumberFormat="1" applyFill="1" applyBorder="1"/>
    <xf numFmtId="8" fontId="0" fillId="5" borderId="1" xfId="0" applyNumberFormat="1" applyFill="1" applyBorder="1"/>
    <xf numFmtId="0" fontId="61" fillId="0" borderId="18" xfId="0" applyFont="1" applyBorder="1"/>
    <xf numFmtId="0" fontId="61" fillId="0" borderId="15" xfId="0" applyFont="1" applyBorder="1"/>
    <xf numFmtId="171" fontId="61" fillId="12" borderId="1" xfId="0" applyNumberFormat="1" applyFont="1" applyFill="1" applyBorder="1"/>
    <xf numFmtId="0" fontId="61" fillId="0" borderId="38" xfId="0" applyFont="1" applyBorder="1"/>
    <xf numFmtId="171" fontId="0" fillId="5" borderId="0" xfId="0" applyNumberFormat="1" applyFill="1"/>
    <xf numFmtId="171" fontId="48" fillId="12" borderId="0" xfId="0" applyNumberFormat="1" applyFont="1" applyFill="1"/>
    <xf numFmtId="0" fontId="0" fillId="0" borderId="1" xfId="0" applyBorder="1" applyAlignment="1">
      <alignment wrapText="1"/>
    </xf>
    <xf numFmtId="0" fontId="1" fillId="0" borderId="6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4" fillId="0" borderId="22" xfId="0" applyFont="1" applyBorder="1" applyAlignment="1">
      <alignment horizontal="center" wrapText="1"/>
    </xf>
    <xf numFmtId="0" fontId="0" fillId="0" borderId="24" xfId="0" applyBorder="1" applyAlignment="1">
      <alignment wrapText="1"/>
    </xf>
    <xf numFmtId="166" fontId="0" fillId="0" borderId="7" xfId="0" applyNumberFormat="1" applyBorder="1" applyAlignment="1">
      <alignment horizontal="center" vertical="center"/>
    </xf>
    <xf numFmtId="166" fontId="0" fillId="0" borderId="25" xfId="0" applyNumberFormat="1" applyBorder="1" applyAlignment="1">
      <alignment horizontal="center" vertical="center"/>
    </xf>
    <xf numFmtId="0" fontId="44" fillId="0" borderId="3" xfId="0" applyFont="1" applyBorder="1" applyAlignment="1">
      <alignment horizontal="center" vertical="center" wrapText="1"/>
    </xf>
    <xf numFmtId="0" fontId="44" fillId="0" borderId="6" xfId="0" applyFont="1" applyBorder="1" applyAlignment="1">
      <alignment horizontal="center" vertical="center" wrapText="1"/>
    </xf>
    <xf numFmtId="171" fontId="14" fillId="0" borderId="29" xfId="0" applyNumberFormat="1" applyFont="1" applyBorder="1" applyAlignment="1">
      <alignment horizontal="center" vertical="center"/>
    </xf>
    <xf numFmtId="171" fontId="14" fillId="0" borderId="34" xfId="0" applyNumberFormat="1" applyFont="1" applyBorder="1" applyAlignment="1">
      <alignment horizontal="center" vertical="center"/>
    </xf>
    <xf numFmtId="171" fontId="14" fillId="0" borderId="32" xfId="0" applyNumberFormat="1" applyFont="1" applyBorder="1" applyAlignment="1">
      <alignment horizontal="center" vertical="center"/>
    </xf>
    <xf numFmtId="171" fontId="4" fillId="6" borderId="12" xfId="0" applyNumberFormat="1" applyFont="1" applyFill="1" applyBorder="1" applyAlignment="1">
      <alignment horizontal="center" vertical="center"/>
    </xf>
    <xf numFmtId="171" fontId="4" fillId="6" borderId="13" xfId="0" applyNumberFormat="1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" fillId="6" borderId="31" xfId="0" applyFont="1" applyFill="1" applyBorder="1" applyAlignment="1">
      <alignment horizontal="center" vertical="center"/>
    </xf>
    <xf numFmtId="0" fontId="4" fillId="6" borderId="42" xfId="0" applyFont="1" applyFill="1" applyBorder="1" applyAlignment="1">
      <alignment horizontal="center" vertical="center"/>
    </xf>
    <xf numFmtId="0" fontId="4" fillId="6" borderId="51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6" fillId="2" borderId="48" xfId="0" applyFont="1" applyFill="1" applyBorder="1" applyAlignment="1">
      <alignment horizontal="center"/>
    </xf>
    <xf numFmtId="0" fontId="6" fillId="2" borderId="49" xfId="0" applyFont="1" applyFill="1" applyBorder="1" applyAlignment="1">
      <alignment horizontal="center"/>
    </xf>
    <xf numFmtId="0" fontId="3" fillId="3" borderId="40" xfId="0" applyFont="1" applyFill="1" applyBorder="1" applyAlignment="1">
      <alignment horizontal="center" vertical="center" textRotation="135"/>
    </xf>
    <xf numFmtId="0" fontId="3" fillId="3" borderId="20" xfId="0" applyFont="1" applyFill="1" applyBorder="1" applyAlignment="1">
      <alignment horizontal="center" vertical="center" textRotation="135"/>
    </xf>
    <xf numFmtId="0" fontId="3" fillId="3" borderId="21" xfId="0" applyFont="1" applyFill="1" applyBorder="1" applyAlignment="1">
      <alignment horizontal="center" vertical="center" textRotation="135"/>
    </xf>
    <xf numFmtId="0" fontId="4" fillId="6" borderId="29" xfId="0" applyFont="1" applyFill="1" applyBorder="1" applyAlignment="1">
      <alignment horizontal="center"/>
    </xf>
    <xf numFmtId="0" fontId="4" fillId="6" borderId="34" xfId="0" applyFont="1" applyFill="1" applyBorder="1" applyAlignment="1">
      <alignment horizontal="center"/>
    </xf>
    <xf numFmtId="171" fontId="14" fillId="0" borderId="29" xfId="0" applyNumberFormat="1" applyFont="1" applyBorder="1" applyAlignment="1">
      <alignment horizontal="center" vertical="center"/>
    </xf>
    <xf numFmtId="171" fontId="14" fillId="0" borderId="34" xfId="0" applyNumberFormat="1" applyFont="1" applyBorder="1" applyAlignment="1">
      <alignment horizontal="center" vertical="center"/>
    </xf>
    <xf numFmtId="171" fontId="14" fillId="0" borderId="32" xfId="0" applyNumberFormat="1" applyFont="1" applyBorder="1" applyAlignment="1">
      <alignment horizontal="center" vertical="center"/>
    </xf>
    <xf numFmtId="0" fontId="4" fillId="6" borderId="32" xfId="0" applyFont="1" applyFill="1" applyBorder="1" applyAlignment="1">
      <alignment horizontal="center"/>
    </xf>
    <xf numFmtId="166" fontId="4" fillId="6" borderId="12" xfId="0" applyNumberFormat="1" applyFont="1" applyFill="1" applyBorder="1" applyAlignment="1">
      <alignment horizontal="center" vertical="center"/>
    </xf>
    <xf numFmtId="166" fontId="4" fillId="6" borderId="13" xfId="0" applyNumberFormat="1" applyFont="1" applyFill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45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50" fillId="0" borderId="29" xfId="0" applyFont="1" applyBorder="1" applyAlignment="1">
      <alignment horizontal="center" vertical="center"/>
    </xf>
    <xf numFmtId="0" fontId="50" fillId="0" borderId="32" xfId="0" applyFont="1" applyBorder="1" applyAlignment="1">
      <alignment horizontal="center" vertical="center"/>
    </xf>
    <xf numFmtId="171" fontId="1" fillId="14" borderId="58" xfId="1" applyNumberFormat="1" applyFont="1" applyFill="1" applyBorder="1" applyAlignment="1">
      <alignment horizontal="center" vertical="center"/>
    </xf>
    <xf numFmtId="171" fontId="1" fillId="14" borderId="0" xfId="1" applyNumberFormat="1" applyFont="1" applyFill="1" applyBorder="1" applyAlignment="1">
      <alignment horizontal="center" vertical="center"/>
    </xf>
    <xf numFmtId="171" fontId="1" fillId="13" borderId="58" xfId="1" applyNumberFormat="1" applyFont="1" applyFill="1" applyBorder="1" applyAlignment="1">
      <alignment horizontal="center" vertical="center"/>
    </xf>
    <xf numFmtId="171" fontId="1" fillId="13" borderId="0" xfId="1" applyNumberFormat="1" applyFont="1" applyFill="1" applyBorder="1" applyAlignment="1">
      <alignment horizontal="center" vertical="center"/>
    </xf>
    <xf numFmtId="14" fontId="7" fillId="0" borderId="23" xfId="0" applyNumberFormat="1" applyFont="1" applyBorder="1" applyAlignment="1">
      <alignment horizontal="center" vertical="center" textRotation="90"/>
    </xf>
    <xf numFmtId="14" fontId="7" fillId="0" borderId="86" xfId="0" applyNumberFormat="1" applyFont="1" applyBorder="1" applyAlignment="1">
      <alignment horizontal="center" vertical="center" textRotation="90"/>
    </xf>
    <xf numFmtId="14" fontId="7" fillId="0" borderId="31" xfId="0" applyNumberFormat="1" applyFont="1" applyBorder="1" applyAlignment="1">
      <alignment horizontal="center" vertical="center" textRotation="90"/>
    </xf>
    <xf numFmtId="0" fontId="0" fillId="0" borderId="75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59" fillId="15" borderId="37" xfId="0" applyFont="1" applyFill="1" applyBorder="1" applyAlignment="1">
      <alignment horizontal="center" wrapText="1"/>
    </xf>
    <xf numFmtId="0" fontId="0" fillId="0" borderId="68" xfId="0" applyBorder="1" applyAlignment="1">
      <alignment horizontal="center"/>
    </xf>
    <xf numFmtId="0" fontId="0" fillId="0" borderId="68" xfId="0" applyBorder="1" applyAlignment="1">
      <alignment horizontal="center" vertical="center"/>
    </xf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0" xfId="0" applyAlignment="1">
      <alignment horizontal="center"/>
    </xf>
    <xf numFmtId="171" fontId="0" fillId="0" borderId="81" xfId="0" applyNumberFormat="1" applyBorder="1" applyAlignment="1">
      <alignment horizontal="center" vertical="center"/>
    </xf>
    <xf numFmtId="171" fontId="0" fillId="0" borderId="82" xfId="0" applyNumberFormat="1" applyBorder="1" applyAlignment="1">
      <alignment horizontal="center" vertical="center"/>
    </xf>
    <xf numFmtId="171" fontId="0" fillId="0" borderId="78" xfId="0" applyNumberFormat="1" applyBorder="1" applyAlignment="1">
      <alignment horizontal="center" vertical="center"/>
    </xf>
    <xf numFmtId="171" fontId="0" fillId="0" borderId="79" xfId="0" applyNumberFormat="1" applyBorder="1" applyAlignment="1">
      <alignment horizontal="center" vertical="center"/>
    </xf>
    <xf numFmtId="171" fontId="0" fillId="0" borderId="70" xfId="0" applyNumberFormat="1" applyBorder="1" applyAlignment="1">
      <alignment horizontal="center" vertical="center"/>
    </xf>
    <xf numFmtId="171" fontId="0" fillId="0" borderId="71" xfId="0" applyNumberFormat="1" applyBorder="1" applyAlignment="1">
      <alignment horizontal="center" vertical="center"/>
    </xf>
    <xf numFmtId="171" fontId="0" fillId="0" borderId="73" xfId="0" applyNumberFormat="1" applyBorder="1" applyAlignment="1">
      <alignment horizontal="center" vertical="center"/>
    </xf>
    <xf numFmtId="171" fontId="0" fillId="0" borderId="74" xfId="0" applyNumberFormat="1" applyBorder="1" applyAlignment="1">
      <alignment horizontal="center" vertical="center"/>
    </xf>
    <xf numFmtId="14" fontId="62" fillId="0" borderId="12" xfId="0" applyNumberFormat="1" applyFont="1" applyBorder="1" applyAlignment="1">
      <alignment horizontal="center" vertical="center" textRotation="90"/>
    </xf>
    <xf numFmtId="14" fontId="62" fillId="0" borderId="67" xfId="0" applyNumberFormat="1" applyFont="1" applyBorder="1" applyAlignment="1">
      <alignment horizontal="center" vertical="center" textRotation="90"/>
    </xf>
    <xf numFmtId="14" fontId="62" fillId="0" borderId="13" xfId="0" applyNumberFormat="1" applyFont="1" applyBorder="1" applyAlignment="1">
      <alignment horizontal="center" vertical="center" textRotation="90"/>
    </xf>
    <xf numFmtId="0" fontId="28" fillId="0" borderId="29" xfId="0" applyFont="1" applyBorder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0" fontId="28" fillId="0" borderId="35" xfId="0" applyFont="1" applyBorder="1" applyAlignment="1">
      <alignment horizontal="center" vertical="center"/>
    </xf>
    <xf numFmtId="166" fontId="28" fillId="0" borderId="11" xfId="1" applyNumberFormat="1" applyFont="1" applyBorder="1" applyAlignment="1">
      <alignment horizontal="center" vertical="center"/>
    </xf>
    <xf numFmtId="166" fontId="28" fillId="0" borderId="61" xfId="1" applyNumberFormat="1" applyFont="1" applyBorder="1" applyAlignment="1">
      <alignment horizontal="center" vertical="center"/>
    </xf>
    <xf numFmtId="166" fontId="28" fillId="0" borderId="18" xfId="1" applyNumberFormat="1" applyFont="1" applyBorder="1" applyAlignment="1">
      <alignment horizontal="center" vertical="center"/>
    </xf>
    <xf numFmtId="166" fontId="28" fillId="0" borderId="1" xfId="1" applyNumberFormat="1" applyFont="1" applyBorder="1" applyAlignment="1">
      <alignment horizontal="center" vertical="center"/>
    </xf>
    <xf numFmtId="0" fontId="34" fillId="0" borderId="8" xfId="0" applyFont="1" applyBorder="1" applyAlignment="1">
      <alignment horizontal="center"/>
    </xf>
    <xf numFmtId="0" fontId="34" fillId="0" borderId="10" xfId="0" applyFont="1" applyBorder="1" applyAlignment="1">
      <alignment horizontal="center"/>
    </xf>
    <xf numFmtId="0" fontId="38" fillId="0" borderId="0" xfId="0" applyFont="1" applyAlignment="1">
      <alignment horizontal="center"/>
    </xf>
    <xf numFmtId="0" fontId="28" fillId="0" borderId="6" xfId="0" applyFont="1" applyBorder="1" applyAlignment="1">
      <alignment horizontal="center"/>
    </xf>
    <xf numFmtId="0" fontId="28" fillId="0" borderId="7" xfId="0" applyFont="1" applyBorder="1" applyAlignment="1">
      <alignment horizontal="center"/>
    </xf>
    <xf numFmtId="166" fontId="28" fillId="0" borderId="64" xfId="1" applyNumberFormat="1" applyFont="1" applyBorder="1" applyAlignment="1">
      <alignment horizontal="center" vertical="center"/>
    </xf>
    <xf numFmtId="166" fontId="28" fillId="0" borderId="9" xfId="1" applyNumberFormat="1" applyFont="1" applyBorder="1" applyAlignment="1">
      <alignment horizontal="center" vertical="center"/>
    </xf>
    <xf numFmtId="0" fontId="27" fillId="0" borderId="1" xfId="0" applyFont="1" applyBorder="1" applyAlignment="1">
      <alignment horizontal="center" wrapText="1"/>
    </xf>
    <xf numFmtId="0" fontId="40" fillId="0" borderId="0" xfId="0" applyFont="1" applyAlignment="1">
      <alignment horizontal="center" vertical="center"/>
    </xf>
    <xf numFmtId="170" fontId="39" fillId="0" borderId="46" xfId="1" applyNumberFormat="1" applyFont="1" applyBorder="1" applyAlignment="1">
      <alignment horizontal="center" vertical="center"/>
    </xf>
    <xf numFmtId="170" fontId="39" fillId="0" borderId="47" xfId="1" applyNumberFormat="1" applyFont="1" applyBorder="1" applyAlignment="1">
      <alignment horizontal="center" vertical="center"/>
    </xf>
    <xf numFmtId="170" fontId="39" fillId="0" borderId="49" xfId="1" applyNumberFormat="1" applyFont="1" applyBorder="1" applyAlignment="1">
      <alignment horizontal="center" vertical="center"/>
    </xf>
    <xf numFmtId="170" fontId="39" fillId="0" borderId="50" xfId="1" applyNumberFormat="1" applyFont="1" applyBorder="1" applyAlignment="1">
      <alignment horizontal="center" vertical="center"/>
    </xf>
    <xf numFmtId="14" fontId="43" fillId="0" borderId="47" xfId="0" applyNumberFormat="1" applyFont="1" applyBorder="1" applyAlignment="1">
      <alignment horizontal="center" vertical="center"/>
    </xf>
    <xf numFmtId="14" fontId="43" fillId="0" borderId="50" xfId="0" applyNumberFormat="1" applyFont="1" applyBorder="1" applyAlignment="1">
      <alignment horizontal="center" vertical="center"/>
    </xf>
    <xf numFmtId="0" fontId="43" fillId="0" borderId="45" xfId="0" applyFont="1" applyBorder="1" applyAlignment="1">
      <alignment horizontal="center" vertical="center"/>
    </xf>
    <xf numFmtId="0" fontId="43" fillId="0" borderId="48" xfId="0" applyFont="1" applyBorder="1" applyAlignment="1">
      <alignment horizontal="center" vertical="center"/>
    </xf>
    <xf numFmtId="0" fontId="33" fillId="0" borderId="28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166" fontId="28" fillId="0" borderId="63" xfId="1" applyNumberFormat="1" applyFont="1" applyBorder="1" applyAlignment="1">
      <alignment horizontal="center" vertical="center"/>
    </xf>
    <xf numFmtId="166" fontId="28" fillId="0" borderId="56" xfId="1" applyNumberFormat="1" applyFont="1" applyBorder="1" applyAlignment="1">
      <alignment horizontal="center" vertical="center"/>
    </xf>
    <xf numFmtId="170" fontId="27" fillId="0" borderId="1" xfId="1" applyNumberFormat="1" applyFont="1" applyBorder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42" fillId="0" borderId="0" xfId="0" applyFont="1" applyAlignment="1">
      <alignment horizontal="center"/>
    </xf>
    <xf numFmtId="170" fontId="31" fillId="0" borderId="0" xfId="0" applyNumberFormat="1" applyFont="1" applyAlignment="1">
      <alignment horizontal="center" vertical="center"/>
    </xf>
    <xf numFmtId="0" fontId="28" fillId="0" borderId="62" xfId="0" applyFont="1" applyBorder="1" applyAlignment="1">
      <alignment horizontal="center"/>
    </xf>
    <xf numFmtId="0" fontId="28" fillId="0" borderId="33" xfId="0" applyFont="1" applyBorder="1" applyAlignment="1">
      <alignment horizontal="center"/>
    </xf>
    <xf numFmtId="0" fontId="28" fillId="0" borderId="60" xfId="0" applyFont="1" applyBorder="1" applyAlignment="1">
      <alignment horizontal="center"/>
    </xf>
    <xf numFmtId="0" fontId="28" fillId="0" borderId="61" xfId="0" applyFont="1" applyBorder="1" applyAlignment="1">
      <alignment horizontal="center"/>
    </xf>
    <xf numFmtId="0" fontId="32" fillId="0" borderId="35" xfId="0" applyFont="1" applyBorder="1" applyAlignment="1">
      <alignment horizontal="center" vertical="center"/>
    </xf>
    <xf numFmtId="0" fontId="32" fillId="0" borderId="28" xfId="0" applyFont="1" applyBorder="1" applyAlignment="1">
      <alignment horizontal="center" vertical="center"/>
    </xf>
    <xf numFmtId="166" fontId="28" fillId="0" borderId="17" xfId="1" applyNumberFormat="1" applyFont="1" applyBorder="1" applyAlignment="1">
      <alignment horizontal="center" vertical="center"/>
    </xf>
    <xf numFmtId="0" fontId="28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15" fillId="0" borderId="37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7" fillId="0" borderId="0" xfId="0" applyNumberFormat="1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1" fontId="17" fillId="0" borderId="0" xfId="2" applyNumberFormat="1" applyFont="1" applyAlignment="1" applyProtection="1">
      <alignment horizontal="center" vertical="center"/>
      <protection locked="0"/>
    </xf>
    <xf numFmtId="0" fontId="17" fillId="0" borderId="0" xfId="0" applyFont="1" applyAlignment="1">
      <alignment horizontal="center" vertical="center"/>
    </xf>
    <xf numFmtId="14" fontId="17" fillId="0" borderId="0" xfId="2" applyNumberFormat="1" applyFont="1" applyAlignment="1" applyProtection="1">
      <alignment horizontal="center" vertical="center"/>
      <protection locked="0"/>
    </xf>
    <xf numFmtId="0" fontId="17" fillId="0" borderId="0" xfId="2" applyNumberFormat="1" applyFont="1" applyAlignment="1" applyProtection="1">
      <alignment horizontal="center" vertical="center"/>
      <protection locked="0"/>
    </xf>
    <xf numFmtId="0" fontId="15" fillId="0" borderId="19" xfId="0" applyFont="1" applyBorder="1" applyAlignment="1">
      <alignment horizontal="center"/>
    </xf>
    <xf numFmtId="0" fontId="15" fillId="0" borderId="41" xfId="0" applyFont="1" applyBorder="1" applyAlignment="1">
      <alignment horizontal="center"/>
    </xf>
    <xf numFmtId="0" fontId="15" fillId="0" borderId="38" xfId="0" applyFont="1" applyBorder="1" applyAlignment="1">
      <alignment horizontal="center"/>
    </xf>
    <xf numFmtId="14" fontId="16" fillId="0" borderId="52" xfId="0" applyNumberFormat="1" applyFont="1" applyBorder="1" applyAlignment="1">
      <alignment horizontal="center" vertical="center"/>
    </xf>
    <xf numFmtId="0" fontId="16" fillId="0" borderId="5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</cellXfs>
  <cellStyles count="3">
    <cellStyle name="Milliers" xfId="2" builtinId="3"/>
    <cellStyle name="Monétaire" xfId="1" builtinId="4"/>
    <cellStyle name="Normal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.00\ [$DH-380C]_-;\-* #,##0.00\ [$DH-380C]_-;_-* &quot;-&quot;??\ [$DH-380C]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singleAccounting"/>
        <vertAlign val="baseline"/>
        <sz val="11"/>
        <color theme="1"/>
        <name val="Calibri"/>
        <family val="2"/>
        <scheme val="minor"/>
      </font>
      <numFmt numFmtId="170" formatCode="_-* #,##0.00\ [$MAD]_-;\-* #,##0.00\ [$MAD]_-;_-* &quot;-&quot;??\ [$MAD]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32374A2E-553A-447E-9C82-84DD7CBB718B}"/>
  </tableStyles>
  <colors>
    <mruColors>
      <color rgb="FFFF23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17/06/relationships/rdSupportingPropertyBag" Target="richData/rdsupportingpropertybag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SupportingPropertyBagStructure" Target="richData/rdsupportingpropertybag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ichStyles" Target="richData/rich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165100</xdr:rowOff>
        </xdr:from>
        <xdr:to>
          <xdr:col>0</xdr:col>
          <xdr:colOff>1511300</xdr:colOff>
          <xdr:row>5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D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empty the cash 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165100</xdr:rowOff>
        </xdr:from>
        <xdr:to>
          <xdr:col>0</xdr:col>
          <xdr:colOff>1511300</xdr:colOff>
          <xdr:row>5</xdr:row>
          <xdr:rowOff>88900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empty the cash register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990600</xdr:colOff>
      <xdr:row>28</xdr:row>
      <xdr:rowOff>177800</xdr:rowOff>
    </xdr:from>
    <xdr:to>
      <xdr:col>3</xdr:col>
      <xdr:colOff>1264920</xdr:colOff>
      <xdr:row>30</xdr:row>
      <xdr:rowOff>33019</xdr:rowOff>
    </xdr:to>
    <xdr:pic>
      <xdr:nvPicPr>
        <xdr:cNvPr id="3" name="Graphique 2" descr="Badge à suivre contour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15000" y="5880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990600</xdr:colOff>
      <xdr:row>30</xdr:row>
      <xdr:rowOff>228600</xdr:rowOff>
    </xdr:from>
    <xdr:to>
      <xdr:col>3</xdr:col>
      <xdr:colOff>1264920</xdr:colOff>
      <xdr:row>32</xdr:row>
      <xdr:rowOff>33021</xdr:rowOff>
    </xdr:to>
    <xdr:pic>
      <xdr:nvPicPr>
        <xdr:cNvPr id="5" name="Graphique 4" descr="Badge à ne plus suivre contour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15000" y="6350000"/>
          <a:ext cx="274320" cy="2743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660400</xdr:colOff>
          <xdr:row>29</xdr:row>
          <xdr:rowOff>152400</xdr:rowOff>
        </xdr:from>
        <xdr:to>
          <xdr:col>7</xdr:col>
          <xdr:colOff>863600</xdr:colOff>
          <xdr:row>31</xdr:row>
          <xdr:rowOff>63500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D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Credit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973740</xdr:colOff>
      <xdr:row>0</xdr:row>
      <xdr:rowOff>45107</xdr:rowOff>
    </xdr:from>
    <xdr:to>
      <xdr:col>7</xdr:col>
      <xdr:colOff>149819</xdr:colOff>
      <xdr:row>6</xdr:row>
      <xdr:rowOff>65909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75740" y="45107"/>
          <a:ext cx="2194830" cy="93520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4</xdr:row>
          <xdr:rowOff>50800</xdr:rowOff>
        </xdr:from>
        <xdr:to>
          <xdr:col>11</xdr:col>
          <xdr:colOff>190500</xdr:colOff>
          <xdr:row>8</xdr:row>
          <xdr:rowOff>63500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E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20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27878</xdr:colOff>
      <xdr:row>35</xdr:row>
      <xdr:rowOff>6351</xdr:rowOff>
    </xdr:from>
    <xdr:to>
      <xdr:col>6</xdr:col>
      <xdr:colOff>1075890</xdr:colOff>
      <xdr:row>40</xdr:row>
      <xdr:rowOff>177427</xdr:rowOff>
    </xdr:to>
    <xdr:pic>
      <xdr:nvPicPr>
        <xdr:cNvPr id="5" name="Image 1" descr="Une image contenant texte&#10;&#10;Description générée automatiquement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28" y="6102351"/>
          <a:ext cx="4747322" cy="1104900"/>
        </a:xfrm>
        <a:prstGeom prst="rect">
          <a:avLst/>
        </a:prstGeom>
      </xdr:spPr>
    </xdr:pic>
    <xdr:clientData/>
  </xdr:twoCellAnchor>
  <xdr:twoCellAnchor editAs="oneCell">
    <xdr:from>
      <xdr:col>1</xdr:col>
      <xdr:colOff>45764</xdr:colOff>
      <xdr:row>0</xdr:row>
      <xdr:rowOff>50362</xdr:rowOff>
    </xdr:from>
    <xdr:to>
      <xdr:col>6</xdr:col>
      <xdr:colOff>1150664</xdr:colOff>
      <xdr:row>3</xdr:row>
      <xdr:rowOff>8745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695" y="50362"/>
          <a:ext cx="4744107" cy="7203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25400</xdr:colOff>
          <xdr:row>5</xdr:row>
          <xdr:rowOff>38100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F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1" i="1" u="sng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Créer la Fiche de Police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504181</xdr:colOff>
      <xdr:row>35</xdr:row>
      <xdr:rowOff>171814</xdr:rowOff>
    </xdr:from>
    <xdr:to>
      <xdr:col>5</xdr:col>
      <xdr:colOff>192424</xdr:colOff>
      <xdr:row>38</xdr:row>
      <xdr:rowOff>113208</xdr:rowOff>
    </xdr:to>
    <xdr:pic>
      <xdr:nvPicPr>
        <xdr:cNvPr id="6" name="Image 5" descr="Une image contenant texte&#10;&#10;Description générée automatiquement">
          <a:extLst>
            <a:ext uri="{FF2B5EF4-FFF2-40B4-BE49-F238E27FC236}">
              <a16:creationId xmlns:a16="http://schemas.microsoft.com/office/drawing/2014/main" id="{00000000-0008-0000-0F00-000006000000}"/>
            </a:ext>
            <a:ext uri="{147F2762-F138-4A5C-976F-8EAC2B608ADB}">
              <a16:predDERef xmlns:a16="http://schemas.microsoft.com/office/drawing/2014/main" pred="{00000000-0008-0000-08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20860319">
          <a:off x="1385305" y="6280613"/>
          <a:ext cx="1765529" cy="517324"/>
        </a:xfrm>
        <a:prstGeom prst="rect">
          <a:avLst/>
        </a:prstGeom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DotNotation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0</v>
    <v>1</v>
    <v>USD/MAD</v>
    <v>3</v>
    <v>4</v>
    <v>Finance</v>
    <v>5</v>
    <v>fr-FR</v>
    <v>avyqim</v>
    <v>268435456</v>
    <v>1</v>
    <v>Avec Refinitiv</v>
    <v>9.1521000000000008</v>
    <v>8.9354999999999993</v>
    <v>9.1677999999999997</v>
    <v>USDMAD</v>
    <v>USD</v>
    <v>46078.663425925923</v>
    <v>MAD</v>
    <v>9.1887000000000008</v>
    <v>9.9966000000000008</v>
    <v>9.0529999999999994E-4</v>
    <v>8.3000000000000001E-3</v>
    <v>US Dollar/Moroccan Dirham FX Spot Rate</v>
    <v>9.1640999999999995</v>
    <v>9.1760999999999999</v>
    <v>Paire de devises</v>
    <v>USD/MAD</v>
  </rv>
  <rv s="1">
    <v>0</v>
  </rv>
  <rv s="0">
    <v>0</v>
    <v>1</v>
    <v>EUR/MAD</v>
    <v>3</v>
    <v>4</v>
    <v>Finance</v>
    <v>5</v>
    <v>fr-FR</v>
    <v>av8yec</v>
    <v>268435456</v>
    <v>1</v>
    <v>Avec Refinitiv</v>
    <v>10.7942</v>
    <v>10.2941</v>
    <v>10.791700000000001</v>
    <v>EURMAD</v>
    <v>EUR</v>
    <v>46078.663414351853</v>
    <v>MAD</v>
    <v>10.828900000000001</v>
    <v>11.0909</v>
    <v>3.0859999999999998E-3</v>
    <v>3.3300000000000003E-2</v>
    <v>Euro/Moroccan Dirham FX Cross Rate</v>
    <v>10.791399999999999</v>
    <v>10.824999999999999</v>
    <v>Paire de devises</v>
    <v>EUR/MAD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_CanonicalPropertyNames" t="spb"/>
    <k n="_Display" t="spb"/>
    <k n="_DisplayString" t="s"/>
    <k n="_Flags" t="spb"/>
    <k n="_Format" t="spb"/>
    <k n="_Icon" t="s"/>
    <k n="_SubLabel" t="spb"/>
    <k n="%EntityCulture" t="s"/>
    <k n="%EntityId" t="s"/>
    <k n="%EntityServiceId"/>
    <k n="%IsRefreshable" t="b"/>
    <k n="%ProviderInfo" t="s"/>
    <k n="Bas"/>
    <k n="Bas depuis 52 semaines"/>
    <k n="Clôture précédente"/>
    <k n="Code mnémonique" t="s"/>
    <k n="De la devise" t="s"/>
    <k n="Dernière heure d'échange"/>
    <k n="Devise" t="s"/>
    <k n="Haut"/>
    <k n="Haut depuis 52 semaines"/>
    <k n="Modification (%)"/>
    <k n="Modifier"/>
    <k n="Nom" t="s"/>
    <k n="Ouvrir"/>
    <k n="Prix"/>
    <k n="Type d'instrument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8">
      <v t="s">%EntityServiceId</v>
      <v t="s">_Format</v>
      <v t="s">%IsRefreshable</v>
      <v t="s">_CanonicalPropertyNames</v>
      <v t="s">%EntityCulture</v>
      <v t="s">%EntityId</v>
      <v t="s">_Icon</v>
      <v t="s">_Display</v>
      <v t="s">Nom</v>
      <v t="s">Prix</v>
      <v t="s">_SubLabel</v>
      <v t="s">Dernière heure d'échange</v>
      <v t="s">Code mnémonique</v>
      <v t="s">Modifier</v>
      <v t="s">Modification (%)</v>
      <v t="s">Devise</v>
      <v t="s">De la devise</v>
      <v t="s">Clôture précédente</v>
      <v t="s">Ouvrir</v>
      <v t="s">Haut</v>
      <v t="s">Bas</v>
      <v t="s">Haut depuis 52 semaines</v>
      <v t="s">Bas depuis 52 semaines</v>
      <v t="s">Type d'instrument</v>
      <v t="s">_Flags</v>
      <v t="s">UniqueName</v>
      <v t="s">_DisplayString</v>
      <v t="s">%ProviderInfo</v>
    </a>
  </spbArrays>
  <spbData count="6">
    <spb s="0">
      <v>Low</v>
      <v>Name</v>
      <v>High</v>
      <v>Price</v>
      <v>Currency</v>
      <v>Open</v>
      <v>Change</v>
      <v>UniqueName</v>
      <v>From currency</v>
      <v>%ProviderInfo</v>
      <v>Ticker symbol</v>
      <v>Change (%)</v>
      <v>Instrument type</v>
      <v>Previous close</v>
      <v>52 week low</v>
      <v>52 week high</v>
      <v>Last trade time</v>
    </spb>
    <spb s="1">
      <v>0</v>
      <v>Name</v>
    </spb>
    <spb s="2">
      <v>0</v>
      <v>0</v>
      <v>0</v>
    </spb>
    <spb s="3">
      <v>2</v>
      <v>2</v>
    </spb>
    <spb s="4">
      <v>1</v>
      <v>2</v>
      <v>1</v>
      <v>1</v>
      <v>1</v>
      <v>1</v>
      <v>3</v>
      <v>4</v>
      <v>1</v>
      <v>1</v>
      <v>1</v>
      <v>5</v>
    </spb>
    <spb s="5">
      <v>GMT</v>
    </spb>
  </spbData>
</supportingPropertyBags>
</file>

<file path=xl/richData/rdsupportingpropertybagstructure.xml><?xml version="1.0" encoding="utf-8"?>
<spbStructures xmlns="http://schemas.microsoft.com/office/spreadsheetml/2017/richdata2" count="6">
  <s>
    <k n="Bas" t="s"/>
    <k n="Nom" t="s"/>
    <k n="Haut" t="s"/>
    <k n="Prix" t="s"/>
    <k n="Devise" t="s"/>
    <k n="Ouvrir" t="s"/>
    <k n="Modifier" t="s"/>
    <k n="UniqueName" t="s"/>
    <k n="De la devise" t="s"/>
    <k n="%ProviderInfo" t="s"/>
    <k n="Code mnémonique" t="s"/>
    <k n="Modification (%)" t="s"/>
    <k n="Type d'instrument" t="s"/>
    <k n="Clôture précédente" t="s"/>
    <k n="Bas depuis 52 semaines" t="s"/>
    <k n="Haut depuis 52 semaines" t="s"/>
    <k n="Dernière heure d'échange" t="s"/>
  </s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Bas" t="i"/>
    <k n="Nom" t="i"/>
    <k n="Haut" t="i"/>
    <k n="Prix" t="i"/>
    <k n="Ouvrir" t="i"/>
    <k n="Modifier" t="i"/>
    <k n="Modification (%)" t="i"/>
    <k n="`%EntityServiceId" t="i"/>
    <k n="Clôture précédente" t="i"/>
    <k n="Bas depuis 52 semaines" t="i"/>
    <k n="Haut depuis 52 semaines" t="i"/>
    <k n="Dernière heure d'échange" t="i"/>
  </s>
  <s>
    <k n="Dernière heure d'échang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0" formatCode="General"/>
    </x:dxf>
    <x:dxf>
      <x:numFmt numFmtId="27" formatCode="dd/mm/yyyy\ hh:mm"/>
    </x:dxf>
    <x:dxf>
      <x:numFmt numFmtId="14" formatCode="0.00%"/>
    </x:dxf>
  </dxfs>
  <richProperties>
    <rPr n="NumberFormat" t="s"/>
    <rPr n="IsTitleField" t="b"/>
  </richProperties>
  <richStyles>
    <rSty dxfid="1">
      <rpv i="0" xml:space="preserve">_ * #,##0.00_) [$MAD-fr-MA]_ ;_ * (#,##0.00) [$MAD-fr-MA]_ ;_ * "-"??_) [$MAD-fr-MA]_ ;_ @_ </rpv>
    </rSty>
    <rSty>
      <rpv i="1">1</rpv>
    </rSty>
    <rSty dxfid="3"/>
    <rSty dxfid="0">
      <rpv i="0">0.00</rpv>
    </rSty>
    <rSty dxfid="2"/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209D72-50D7-FF4D-942F-76AD51B69EFC}" name="Tableau22" displayName="Tableau22" ref="B1:F107" insertRowShift="1" totalsRowShown="0" headerRowDxfId="7" dataDxfId="6" tableBorderDxfId="5">
  <autoFilter ref="B1:F107" xr:uid="{50209D72-50D7-FF4D-942F-76AD51B69EFC}"/>
  <sortState xmlns:xlrd2="http://schemas.microsoft.com/office/spreadsheetml/2017/richdata2" ref="B2:F107">
    <sortCondition descending="1" ref="B1:B107"/>
  </sortState>
  <tableColumns count="5">
    <tableColumn id="1" xr3:uid="{CC853F5A-A52E-D44C-B255-4714BF577FDE}" name="Date" dataDxfId="4"/>
    <tableColumn id="2" xr3:uid="{1E500466-8745-E942-9A67-9C818F700414}" name="Name" dataDxfId="3"/>
    <tableColumn id="3" xr3:uid="{E43F43AA-EA31-9842-A717-5AB93E58FDFD}" name="Amount" dataDxfId="2"/>
    <tableColumn id="4" xr3:uid="{CAC236BE-8F1A-284C-ADB8-50B6122BA660}" name="Type" dataDxfId="1"/>
    <tableColumn id="5" xr3:uid="{9AEC9181-B460-3446-9BF3-503E3AEF81F8}" name="Back" dataDxfId="0" dataCellStyle="Monétaire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CDD6F51-11F2-458F-8D13-928033F39FA9}">
  <we:reference id="wa104006972" version="1.0.0.0" store="fr-FR" storeType="OMEX"/>
  <we:alternateReferences>
    <we:reference id="WA104006972" version="1.0.0.0" store="WA1040069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2D6DC-AD18-4501-84EE-22661FEBA534}">
  <sheetPr codeName="Feuil2">
    <tabColor rgb="FFFF0000"/>
  </sheetPr>
  <dimension ref="A1:T36"/>
  <sheetViews>
    <sheetView showGridLines="0" topLeftCell="C1" zoomScale="84" zoomScaleNormal="100" workbookViewId="0">
      <selection activeCell="C6" sqref="C6:C18"/>
    </sheetView>
  </sheetViews>
  <sheetFormatPr baseColWidth="10" defaultColWidth="10.83203125" defaultRowHeight="15" x14ac:dyDescent="0.2"/>
  <cols>
    <col min="2" max="2" width="18.83203125" customWidth="1"/>
    <col min="3" max="3" width="13.33203125" bestFit="1" customWidth="1"/>
    <col min="5" max="5" width="18.83203125" customWidth="1"/>
    <col min="6" max="6" width="13.1640625" bestFit="1" customWidth="1"/>
    <col min="8" max="8" width="18.83203125" customWidth="1"/>
    <col min="9" max="9" width="13.33203125" bestFit="1" customWidth="1"/>
    <col min="11" max="11" width="18.83203125" customWidth="1"/>
    <col min="12" max="12" width="13.33203125" bestFit="1" customWidth="1"/>
    <col min="14" max="14" width="18.83203125" customWidth="1"/>
    <col min="15" max="15" width="13.5" bestFit="1" customWidth="1"/>
    <col min="16" max="16" width="12.6640625" customWidth="1"/>
    <col min="17" max="17" width="18.83203125" customWidth="1"/>
    <col min="18" max="18" width="13.33203125" bestFit="1" customWidth="1"/>
    <col min="20" max="20" width="15.6640625" customWidth="1"/>
  </cols>
  <sheetData>
    <row r="1" spans="1:20" ht="30" thickBot="1" x14ac:dyDescent="0.4">
      <c r="A1" s="250" t="s">
        <v>0</v>
      </c>
      <c r="B1" s="248" t="s">
        <v>9</v>
      </c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</row>
    <row r="2" spans="1:20" ht="19" x14ac:dyDescent="0.2">
      <c r="A2" s="251"/>
      <c r="B2" s="245" t="s">
        <v>4</v>
      </c>
      <c r="C2" s="246"/>
      <c r="D2" s="247"/>
      <c r="E2" s="245" t="s">
        <v>5</v>
      </c>
      <c r="F2" s="246"/>
      <c r="G2" s="247"/>
      <c r="H2" s="245" t="s">
        <v>6</v>
      </c>
      <c r="I2" s="246"/>
      <c r="J2" s="247"/>
      <c r="K2" s="245" t="s">
        <v>7</v>
      </c>
      <c r="L2" s="246"/>
      <c r="M2" s="247"/>
      <c r="N2" s="245" t="s">
        <v>8</v>
      </c>
      <c r="O2" s="246"/>
      <c r="P2" s="247"/>
      <c r="Q2" s="245" t="s">
        <v>105</v>
      </c>
      <c r="R2" s="246"/>
      <c r="S2" s="247"/>
      <c r="T2" s="240" t="s">
        <v>10</v>
      </c>
    </row>
    <row r="3" spans="1:20" ht="20" thickBot="1" x14ac:dyDescent="0.25">
      <c r="A3" s="252"/>
      <c r="B3" s="16" t="s">
        <v>1</v>
      </c>
      <c r="C3" s="17" t="s">
        <v>2</v>
      </c>
      <c r="D3" s="18" t="s">
        <v>3</v>
      </c>
      <c r="E3" s="16" t="s">
        <v>1</v>
      </c>
      <c r="F3" s="17" t="s">
        <v>2</v>
      </c>
      <c r="G3" s="18" t="s">
        <v>3</v>
      </c>
      <c r="H3" s="16" t="s">
        <v>1</v>
      </c>
      <c r="I3" s="17" t="s">
        <v>2</v>
      </c>
      <c r="J3" s="18" t="s">
        <v>3</v>
      </c>
      <c r="K3" s="16" t="s">
        <v>1</v>
      </c>
      <c r="L3" s="17" t="s">
        <v>2</v>
      </c>
      <c r="M3" s="18" t="s">
        <v>3</v>
      </c>
      <c r="N3" s="16" t="s">
        <v>1</v>
      </c>
      <c r="O3" s="17" t="s">
        <v>2</v>
      </c>
      <c r="P3" s="18" t="s">
        <v>3</v>
      </c>
      <c r="Q3" s="16" t="s">
        <v>1</v>
      </c>
      <c r="R3" s="17" t="s">
        <v>2</v>
      </c>
      <c r="S3" s="18" t="s">
        <v>3</v>
      </c>
      <c r="T3" s="241"/>
    </row>
    <row r="4" spans="1:20" ht="17" thickBot="1" x14ac:dyDescent="0.25">
      <c r="A4" s="14">
        <v>46023</v>
      </c>
      <c r="B4" s="120" t="s">
        <v>201</v>
      </c>
      <c r="C4" s="165">
        <v>1316.7</v>
      </c>
      <c r="D4" s="1" t="s">
        <v>183</v>
      </c>
      <c r="E4" s="6" t="s">
        <v>202</v>
      </c>
      <c r="F4" s="134">
        <v>1080</v>
      </c>
      <c r="G4" s="2" t="s">
        <v>183</v>
      </c>
      <c r="H4" s="164" t="s">
        <v>200</v>
      </c>
      <c r="I4" s="134">
        <v>1215</v>
      </c>
      <c r="J4" s="4" t="s">
        <v>183</v>
      </c>
      <c r="K4" s="5"/>
      <c r="L4" s="165"/>
      <c r="M4" s="2"/>
      <c r="N4" s="7"/>
      <c r="O4" s="135"/>
      <c r="P4" s="3"/>
      <c r="Q4" s="6"/>
      <c r="R4" s="168"/>
      <c r="S4" s="2"/>
      <c r="T4" s="138">
        <f>C4+F4+I4+L4+O4+R4</f>
        <v>3611.7</v>
      </c>
    </row>
    <row r="5" spans="1:20" ht="16" thickBot="1" x14ac:dyDescent="0.25">
      <c r="A5" s="14">
        <v>46024</v>
      </c>
      <c r="B5" s="31" t="s">
        <v>201</v>
      </c>
      <c r="C5" s="134">
        <v>1316.7</v>
      </c>
      <c r="D5" s="2" t="s">
        <v>183</v>
      </c>
      <c r="E5" s="6"/>
      <c r="F5" s="134"/>
      <c r="G5" s="2"/>
      <c r="H5" s="8" t="s">
        <v>200</v>
      </c>
      <c r="I5" s="134">
        <v>1215</v>
      </c>
      <c r="J5" s="4" t="s">
        <v>183</v>
      </c>
      <c r="K5" s="6"/>
      <c r="L5" s="166"/>
      <c r="M5" s="2"/>
      <c r="N5" s="8" t="s">
        <v>203</v>
      </c>
      <c r="O5" s="134">
        <v>1000</v>
      </c>
      <c r="P5" s="4" t="s">
        <v>185</v>
      </c>
      <c r="Q5" s="6"/>
      <c r="R5" s="134"/>
      <c r="S5" s="2"/>
      <c r="T5" s="138">
        <f t="shared" ref="T5:T34" si="0">C5+F5+I5+L5+O5+R5</f>
        <v>3531.7</v>
      </c>
    </row>
    <row r="6" spans="1:20" ht="16" thickBot="1" x14ac:dyDescent="0.25">
      <c r="A6" s="14">
        <v>46025</v>
      </c>
      <c r="B6" s="6" t="s">
        <v>201</v>
      </c>
      <c r="C6" s="134">
        <v>1300</v>
      </c>
      <c r="D6" s="2" t="s">
        <v>185</v>
      </c>
      <c r="E6" s="6"/>
      <c r="F6" s="134"/>
      <c r="G6" s="2"/>
      <c r="H6" s="8" t="s">
        <v>204</v>
      </c>
      <c r="I6" s="134">
        <v>1032.8</v>
      </c>
      <c r="J6" s="4" t="s">
        <v>183</v>
      </c>
      <c r="K6" s="6"/>
      <c r="L6" s="134"/>
      <c r="M6" s="2"/>
      <c r="N6" s="8"/>
      <c r="O6" s="134"/>
      <c r="P6" s="4"/>
      <c r="Q6" s="6"/>
      <c r="R6" s="134"/>
      <c r="S6" s="2"/>
      <c r="T6" s="138">
        <f t="shared" si="0"/>
        <v>2332.8000000000002</v>
      </c>
    </row>
    <row r="7" spans="1:20" ht="16" thickBot="1" x14ac:dyDescent="0.25">
      <c r="A7" s="14">
        <v>46026</v>
      </c>
      <c r="B7" s="6"/>
      <c r="C7" s="134"/>
      <c r="D7" s="2"/>
      <c r="E7" s="6"/>
      <c r="F7" s="134"/>
      <c r="G7" s="2"/>
      <c r="H7" s="8" t="s">
        <v>204</v>
      </c>
      <c r="I7" s="134">
        <v>1032.8</v>
      </c>
      <c r="J7" s="4" t="s">
        <v>183</v>
      </c>
      <c r="K7" s="6"/>
      <c r="L7" s="134"/>
      <c r="M7" s="2"/>
      <c r="N7" s="8"/>
      <c r="O7" s="134"/>
      <c r="P7" s="4"/>
      <c r="Q7" s="6"/>
      <c r="R7" s="134"/>
      <c r="S7" s="2"/>
      <c r="T7" s="138">
        <f t="shared" si="0"/>
        <v>1032.8</v>
      </c>
    </row>
    <row r="8" spans="1:20" ht="16" thickBot="1" x14ac:dyDescent="0.25">
      <c r="A8" s="14">
        <v>46027</v>
      </c>
      <c r="B8" s="6"/>
      <c r="C8" s="134"/>
      <c r="D8" s="2"/>
      <c r="E8" s="6"/>
      <c r="F8" s="134"/>
      <c r="G8" s="2"/>
      <c r="H8" s="8" t="s">
        <v>204</v>
      </c>
      <c r="I8" s="134">
        <v>1032.8</v>
      </c>
      <c r="J8" s="4" t="s">
        <v>183</v>
      </c>
      <c r="K8" s="6"/>
      <c r="L8" s="166"/>
      <c r="M8" s="2"/>
      <c r="N8" s="8"/>
      <c r="O8" s="134"/>
      <c r="P8" s="4"/>
      <c r="Q8" s="6"/>
      <c r="R8" s="134"/>
      <c r="S8" s="2"/>
      <c r="T8" s="138">
        <f t="shared" si="0"/>
        <v>1032.8</v>
      </c>
    </row>
    <row r="9" spans="1:20" ht="16" thickBot="1" x14ac:dyDescent="0.25">
      <c r="A9" s="14">
        <v>46028</v>
      </c>
      <c r="B9" s="6"/>
      <c r="C9" s="134"/>
      <c r="D9" s="2"/>
      <c r="E9" s="6"/>
      <c r="F9" s="134"/>
      <c r="G9" s="2"/>
      <c r="H9" s="8" t="s">
        <v>204</v>
      </c>
      <c r="I9" s="134">
        <v>1032.8</v>
      </c>
      <c r="J9" s="4" t="s">
        <v>183</v>
      </c>
      <c r="K9" s="6"/>
      <c r="L9" s="134"/>
      <c r="M9" s="2"/>
      <c r="N9" s="8"/>
      <c r="O9" s="134"/>
      <c r="P9" s="4"/>
      <c r="Q9" s="6"/>
      <c r="R9" s="134"/>
      <c r="S9" s="2"/>
      <c r="T9" s="138">
        <f t="shared" si="0"/>
        <v>1032.8</v>
      </c>
    </row>
    <row r="10" spans="1:20" ht="16" thickBot="1" x14ac:dyDescent="0.25">
      <c r="A10" s="14">
        <v>46029</v>
      </c>
      <c r="B10" s="6"/>
      <c r="C10" s="134"/>
      <c r="D10" s="2"/>
      <c r="E10" s="6"/>
      <c r="F10" s="134"/>
      <c r="G10" s="2"/>
      <c r="H10" s="8" t="s">
        <v>204</v>
      </c>
      <c r="I10" s="134">
        <v>1032.8</v>
      </c>
      <c r="J10" s="4" t="s">
        <v>183</v>
      </c>
      <c r="K10" s="6"/>
      <c r="L10" s="134"/>
      <c r="M10" s="2"/>
      <c r="N10" s="8" t="s">
        <v>205</v>
      </c>
      <c r="O10" s="134">
        <v>1700</v>
      </c>
      <c r="P10" s="4" t="s">
        <v>185</v>
      </c>
      <c r="Q10" s="6"/>
      <c r="R10" s="134"/>
      <c r="S10" s="2"/>
      <c r="T10" s="138">
        <f t="shared" si="0"/>
        <v>2732.8</v>
      </c>
    </row>
    <row r="11" spans="1:20" ht="16" thickBot="1" x14ac:dyDescent="0.25">
      <c r="A11" s="14">
        <v>46030</v>
      </c>
      <c r="B11" s="6"/>
      <c r="C11" s="134"/>
      <c r="D11" s="2"/>
      <c r="E11" s="6"/>
      <c r="F11" s="134"/>
      <c r="G11" s="2"/>
      <c r="H11" s="8" t="s">
        <v>204</v>
      </c>
      <c r="I11" s="134">
        <v>1032.8</v>
      </c>
      <c r="J11" s="4" t="s">
        <v>183</v>
      </c>
      <c r="K11" s="6"/>
      <c r="L11" s="134"/>
      <c r="M11" s="2"/>
      <c r="N11" s="8" t="s">
        <v>205</v>
      </c>
      <c r="O11" s="134">
        <v>1700</v>
      </c>
      <c r="P11" s="4" t="s">
        <v>185</v>
      </c>
      <c r="Q11" s="6"/>
      <c r="R11" s="134"/>
      <c r="S11" s="2"/>
      <c r="T11" s="138">
        <f t="shared" si="0"/>
        <v>2732.8</v>
      </c>
    </row>
    <row r="12" spans="1:20" ht="16" thickBot="1" x14ac:dyDescent="0.25">
      <c r="A12" s="14">
        <v>46031</v>
      </c>
      <c r="B12" s="6"/>
      <c r="C12" s="134"/>
      <c r="D12" s="2"/>
      <c r="E12" s="6" t="s">
        <v>206</v>
      </c>
      <c r="F12" s="134">
        <v>900</v>
      </c>
      <c r="G12" s="2" t="s">
        <v>183</v>
      </c>
      <c r="H12" s="8" t="s">
        <v>204</v>
      </c>
      <c r="I12" s="134">
        <v>1032.8</v>
      </c>
      <c r="J12" s="4" t="s">
        <v>183</v>
      </c>
      <c r="K12" s="6"/>
      <c r="L12" s="134"/>
      <c r="M12" s="2"/>
      <c r="N12" s="8" t="s">
        <v>205</v>
      </c>
      <c r="O12" s="134">
        <v>1700</v>
      </c>
      <c r="P12" s="4" t="s">
        <v>185</v>
      </c>
      <c r="Q12" s="6"/>
      <c r="R12" s="134"/>
      <c r="S12" s="2"/>
      <c r="T12" s="138">
        <f t="shared" si="0"/>
        <v>3632.8</v>
      </c>
    </row>
    <row r="13" spans="1:20" ht="16" thickBot="1" x14ac:dyDescent="0.25">
      <c r="A13" s="14">
        <v>46032</v>
      </c>
      <c r="B13" s="6"/>
      <c r="C13" s="134"/>
      <c r="D13" s="2"/>
      <c r="E13" s="6" t="s">
        <v>206</v>
      </c>
      <c r="F13" s="134">
        <v>900</v>
      </c>
      <c r="G13" s="2" t="s">
        <v>183</v>
      </c>
      <c r="H13" s="8"/>
      <c r="I13" s="134"/>
      <c r="J13" s="4"/>
      <c r="K13" s="6"/>
      <c r="L13" s="134"/>
      <c r="M13" s="2"/>
      <c r="N13" s="8" t="s">
        <v>205</v>
      </c>
      <c r="O13" s="134">
        <v>1700</v>
      </c>
      <c r="P13" s="4" t="s">
        <v>185</v>
      </c>
      <c r="Q13" s="6"/>
      <c r="R13" s="134"/>
      <c r="S13" s="2"/>
      <c r="T13" s="138">
        <f t="shared" si="0"/>
        <v>2600</v>
      </c>
    </row>
    <row r="14" spans="1:20" ht="16" thickBot="1" x14ac:dyDescent="0.25">
      <c r="A14" s="14">
        <v>46033</v>
      </c>
      <c r="B14" s="6"/>
      <c r="C14" s="134"/>
      <c r="D14" s="2"/>
      <c r="E14" s="6"/>
      <c r="F14" s="134"/>
      <c r="G14" s="2"/>
      <c r="H14" s="8"/>
      <c r="I14" s="134"/>
      <c r="J14" s="4"/>
      <c r="K14" s="6"/>
      <c r="L14" s="134"/>
      <c r="M14" s="2"/>
      <c r="N14" s="8" t="s">
        <v>205</v>
      </c>
      <c r="O14" s="134">
        <v>1700</v>
      </c>
      <c r="P14" s="4" t="s">
        <v>185</v>
      </c>
      <c r="Q14" s="6"/>
      <c r="R14" s="134"/>
      <c r="S14" s="2"/>
      <c r="T14" s="138">
        <f t="shared" si="0"/>
        <v>1700</v>
      </c>
    </row>
    <row r="15" spans="1:20" ht="16" thickBot="1" x14ac:dyDescent="0.25">
      <c r="A15" s="14">
        <v>46034</v>
      </c>
      <c r="B15" s="6" t="s">
        <v>207</v>
      </c>
      <c r="C15" s="134">
        <v>1400</v>
      </c>
      <c r="D15" s="2" t="s">
        <v>185</v>
      </c>
      <c r="E15" s="6"/>
      <c r="F15" s="134"/>
      <c r="G15" s="2"/>
      <c r="H15" s="8" t="s">
        <v>207</v>
      </c>
      <c r="I15" s="134">
        <v>1100</v>
      </c>
      <c r="J15" s="4" t="s">
        <v>185</v>
      </c>
      <c r="K15" s="6" t="s">
        <v>208</v>
      </c>
      <c r="L15" s="134">
        <v>800</v>
      </c>
      <c r="M15" s="2" t="s">
        <v>185</v>
      </c>
      <c r="N15" s="8" t="s">
        <v>205</v>
      </c>
      <c r="O15" s="134">
        <v>1700</v>
      </c>
      <c r="P15" s="4" t="s">
        <v>185</v>
      </c>
      <c r="Q15" s="6" t="s">
        <v>208</v>
      </c>
      <c r="R15" s="134">
        <v>800</v>
      </c>
      <c r="S15" s="2" t="s">
        <v>185</v>
      </c>
      <c r="T15" s="138">
        <f t="shared" si="0"/>
        <v>5800</v>
      </c>
    </row>
    <row r="16" spans="1:20" ht="16" thickBot="1" x14ac:dyDescent="0.25">
      <c r="A16" s="14">
        <v>46035</v>
      </c>
      <c r="B16" s="6" t="s">
        <v>207</v>
      </c>
      <c r="C16" s="134">
        <v>1400</v>
      </c>
      <c r="D16" s="2" t="s">
        <v>185</v>
      </c>
      <c r="E16" s="6" t="s">
        <v>209</v>
      </c>
      <c r="F16" s="134">
        <v>810</v>
      </c>
      <c r="G16" s="2" t="s">
        <v>183</v>
      </c>
      <c r="H16" s="8" t="s">
        <v>207</v>
      </c>
      <c r="I16" s="134">
        <v>1100</v>
      </c>
      <c r="J16" s="4" t="s">
        <v>185</v>
      </c>
      <c r="K16" s="6" t="s">
        <v>208</v>
      </c>
      <c r="L16" s="134">
        <v>800</v>
      </c>
      <c r="M16" s="2" t="s">
        <v>185</v>
      </c>
      <c r="N16" s="8" t="s">
        <v>205</v>
      </c>
      <c r="O16" s="134">
        <v>1700</v>
      </c>
      <c r="P16" s="4" t="s">
        <v>185</v>
      </c>
      <c r="Q16" s="6" t="s">
        <v>208</v>
      </c>
      <c r="R16" s="134">
        <v>800</v>
      </c>
      <c r="S16" s="2" t="s">
        <v>185</v>
      </c>
      <c r="T16" s="138">
        <f t="shared" si="0"/>
        <v>6610</v>
      </c>
    </row>
    <row r="17" spans="1:20" ht="16" thickBot="1" x14ac:dyDescent="0.25">
      <c r="A17" s="14">
        <v>46036</v>
      </c>
      <c r="B17" s="6" t="s">
        <v>207</v>
      </c>
      <c r="C17" s="134">
        <v>1400</v>
      </c>
      <c r="D17" s="2" t="s">
        <v>185</v>
      </c>
      <c r="E17" s="6" t="s">
        <v>209</v>
      </c>
      <c r="F17" s="134">
        <v>810</v>
      </c>
      <c r="G17" s="2" t="s">
        <v>183</v>
      </c>
      <c r="H17" s="8" t="s">
        <v>207</v>
      </c>
      <c r="I17" s="134">
        <v>1100</v>
      </c>
      <c r="J17" s="4" t="s">
        <v>185</v>
      </c>
      <c r="K17" s="6" t="s">
        <v>208</v>
      </c>
      <c r="L17" s="134">
        <v>800</v>
      </c>
      <c r="M17" s="2" t="s">
        <v>185</v>
      </c>
      <c r="N17" s="8" t="s">
        <v>205</v>
      </c>
      <c r="O17" s="134">
        <v>1700</v>
      </c>
      <c r="P17" s="4" t="s">
        <v>185</v>
      </c>
      <c r="Q17" s="6" t="s">
        <v>208</v>
      </c>
      <c r="R17" s="134">
        <v>800</v>
      </c>
      <c r="S17" s="2" t="s">
        <v>185</v>
      </c>
      <c r="T17" s="138">
        <f t="shared" si="0"/>
        <v>6610</v>
      </c>
    </row>
    <row r="18" spans="1:20" ht="16" thickBot="1" x14ac:dyDescent="0.25">
      <c r="A18" s="14">
        <v>46037</v>
      </c>
      <c r="B18" s="6"/>
      <c r="C18" s="134"/>
      <c r="D18" s="2"/>
      <c r="E18" s="6" t="s">
        <v>210</v>
      </c>
      <c r="F18" s="134">
        <v>688.5</v>
      </c>
      <c r="G18" s="2" t="s">
        <v>183</v>
      </c>
      <c r="H18" s="8"/>
      <c r="I18" s="134"/>
      <c r="J18" s="4"/>
      <c r="K18" s="6" t="s">
        <v>211</v>
      </c>
      <c r="L18" s="134">
        <v>500</v>
      </c>
      <c r="M18" s="2" t="s">
        <v>185</v>
      </c>
      <c r="N18" s="8" t="s">
        <v>205</v>
      </c>
      <c r="O18" s="134">
        <v>1700</v>
      </c>
      <c r="P18" s="4" t="s">
        <v>185</v>
      </c>
      <c r="Q18" s="6"/>
      <c r="R18" s="134"/>
      <c r="S18" s="2"/>
      <c r="T18" s="138">
        <f t="shared" si="0"/>
        <v>2888.5</v>
      </c>
    </row>
    <row r="19" spans="1:20" ht="16" thickBot="1" x14ac:dyDescent="0.25">
      <c r="A19" s="14">
        <v>46038</v>
      </c>
      <c r="B19" s="6"/>
      <c r="C19" s="134"/>
      <c r="D19" s="2"/>
      <c r="E19" s="6" t="s">
        <v>210</v>
      </c>
      <c r="F19" s="134">
        <v>688.5</v>
      </c>
      <c r="G19" s="2" t="s">
        <v>183</v>
      </c>
      <c r="H19" s="8"/>
      <c r="I19" s="134"/>
      <c r="J19" s="4"/>
      <c r="K19" s="6" t="s">
        <v>211</v>
      </c>
      <c r="L19" s="134">
        <v>500</v>
      </c>
      <c r="M19" s="2" t="s">
        <v>185</v>
      </c>
      <c r="N19" s="8"/>
      <c r="O19" s="134"/>
      <c r="P19" s="4"/>
      <c r="Q19" s="6"/>
      <c r="R19" s="134"/>
      <c r="S19" s="2"/>
      <c r="T19" s="138">
        <f t="shared" si="0"/>
        <v>1188.5</v>
      </c>
    </row>
    <row r="20" spans="1:20" ht="16" thickBot="1" x14ac:dyDescent="0.25">
      <c r="A20" s="14">
        <v>46039</v>
      </c>
      <c r="B20" s="6"/>
      <c r="C20" s="134"/>
      <c r="D20" s="2"/>
      <c r="E20" s="6" t="s">
        <v>210</v>
      </c>
      <c r="F20" s="134">
        <v>688.5</v>
      </c>
      <c r="G20" s="2" t="s">
        <v>183</v>
      </c>
      <c r="H20" s="8"/>
      <c r="I20" s="134"/>
      <c r="J20" s="4"/>
      <c r="K20" s="6"/>
      <c r="L20" s="134"/>
      <c r="M20" s="2"/>
      <c r="N20" s="8"/>
      <c r="O20" s="134"/>
      <c r="P20" s="4"/>
      <c r="Q20" s="6"/>
      <c r="R20" s="134"/>
      <c r="S20" s="2"/>
      <c r="T20" s="138">
        <f t="shared" si="0"/>
        <v>688.5</v>
      </c>
    </row>
    <row r="21" spans="1:20" ht="16" thickBot="1" x14ac:dyDescent="0.25">
      <c r="A21" s="14">
        <v>46040</v>
      </c>
      <c r="B21" s="6"/>
      <c r="C21" s="134"/>
      <c r="D21" s="2"/>
      <c r="E21" s="6" t="s">
        <v>210</v>
      </c>
      <c r="F21" s="134">
        <v>688.5</v>
      </c>
      <c r="G21" s="2" t="s">
        <v>183</v>
      </c>
      <c r="H21" s="8"/>
      <c r="I21" s="134"/>
      <c r="J21" s="4"/>
      <c r="K21" s="6"/>
      <c r="L21" s="134"/>
      <c r="M21" s="2"/>
      <c r="N21" s="8"/>
      <c r="O21" s="134"/>
      <c r="P21" s="4"/>
      <c r="Q21" s="6"/>
      <c r="R21" s="134"/>
      <c r="S21" s="2"/>
      <c r="T21" s="138">
        <f t="shared" si="0"/>
        <v>688.5</v>
      </c>
    </row>
    <row r="22" spans="1:20" ht="16" thickBot="1" x14ac:dyDescent="0.25">
      <c r="A22" s="14">
        <v>46041</v>
      </c>
      <c r="B22" s="6"/>
      <c r="C22" s="134"/>
      <c r="D22" s="2"/>
      <c r="E22" s="6" t="s">
        <v>210</v>
      </c>
      <c r="F22" s="134">
        <v>688.5</v>
      </c>
      <c r="G22" s="2" t="s">
        <v>183</v>
      </c>
      <c r="H22" s="8"/>
      <c r="I22" s="134"/>
      <c r="J22" s="4"/>
      <c r="K22" s="6"/>
      <c r="L22" s="134"/>
      <c r="M22" s="2"/>
      <c r="N22" s="8"/>
      <c r="O22" s="134"/>
      <c r="P22" s="4"/>
      <c r="Q22" s="6"/>
      <c r="R22" s="134"/>
      <c r="S22" s="2"/>
      <c r="T22" s="138">
        <f t="shared" si="0"/>
        <v>688.5</v>
      </c>
    </row>
    <row r="23" spans="1:20" ht="16" thickBot="1" x14ac:dyDescent="0.25">
      <c r="A23" s="14">
        <v>46042</v>
      </c>
      <c r="B23" s="6"/>
      <c r="C23" s="134"/>
      <c r="D23" s="2"/>
      <c r="E23" s="6" t="s">
        <v>210</v>
      </c>
      <c r="F23" s="134">
        <v>688.5</v>
      </c>
      <c r="G23" s="2" t="s">
        <v>183</v>
      </c>
      <c r="H23" s="8"/>
      <c r="I23" s="134"/>
      <c r="J23" s="4"/>
      <c r="K23" s="6"/>
      <c r="L23" s="134"/>
      <c r="M23" s="2"/>
      <c r="N23" s="8"/>
      <c r="O23" s="134"/>
      <c r="P23" s="4"/>
      <c r="Q23" s="6"/>
      <c r="R23" s="134"/>
      <c r="S23" s="2"/>
      <c r="T23" s="138">
        <f t="shared" si="0"/>
        <v>688.5</v>
      </c>
    </row>
    <row r="24" spans="1:20" ht="16" thickBot="1" x14ac:dyDescent="0.25">
      <c r="A24" s="14">
        <v>46043</v>
      </c>
      <c r="B24" s="6"/>
      <c r="C24" s="134"/>
      <c r="D24" s="2"/>
      <c r="E24" s="6" t="s">
        <v>210</v>
      </c>
      <c r="F24" s="134">
        <v>688.5</v>
      </c>
      <c r="G24" s="2" t="s">
        <v>183</v>
      </c>
      <c r="H24" s="8"/>
      <c r="I24" s="134"/>
      <c r="J24" s="4"/>
      <c r="K24" s="6"/>
      <c r="L24" s="134"/>
      <c r="M24" s="2"/>
      <c r="N24" s="6"/>
      <c r="O24" s="134"/>
      <c r="P24" s="4"/>
      <c r="Q24" s="6"/>
      <c r="R24" s="134"/>
      <c r="S24" s="2"/>
      <c r="T24" s="138">
        <f t="shared" si="0"/>
        <v>688.5</v>
      </c>
    </row>
    <row r="25" spans="1:20" ht="16" thickBot="1" x14ac:dyDescent="0.25">
      <c r="A25" s="14">
        <v>46044</v>
      </c>
      <c r="B25" s="6"/>
      <c r="C25" s="134"/>
      <c r="D25" s="2"/>
      <c r="E25" s="6"/>
      <c r="F25" s="134"/>
      <c r="G25" s="2"/>
      <c r="H25" s="8"/>
      <c r="I25" s="134"/>
      <c r="J25" s="4"/>
      <c r="K25" s="6"/>
      <c r="L25" s="134"/>
      <c r="M25" s="2"/>
      <c r="N25" s="8"/>
      <c r="O25" s="134"/>
      <c r="P25" s="4"/>
      <c r="Q25" s="6"/>
      <c r="R25" s="134"/>
      <c r="S25" s="2"/>
      <c r="T25" s="138">
        <f t="shared" ref="T25:T30" si="1">C25+F25+I25+L25+O25+R25</f>
        <v>0</v>
      </c>
    </row>
    <row r="26" spans="1:20" ht="16" thickBot="1" x14ac:dyDescent="0.25">
      <c r="A26" s="14">
        <v>46045</v>
      </c>
      <c r="B26" s="6"/>
      <c r="C26" s="134"/>
      <c r="D26" s="2"/>
      <c r="E26" s="6"/>
      <c r="F26" s="134"/>
      <c r="G26" s="2"/>
      <c r="H26" s="8"/>
      <c r="I26" s="134"/>
      <c r="J26" s="4"/>
      <c r="K26" s="6"/>
      <c r="L26" s="134"/>
      <c r="M26" s="2"/>
      <c r="N26" s="8"/>
      <c r="O26" s="134"/>
      <c r="P26" s="4"/>
      <c r="Q26" s="6"/>
      <c r="R26" s="134"/>
      <c r="S26" s="2"/>
      <c r="T26" s="138">
        <f t="shared" si="1"/>
        <v>0</v>
      </c>
    </row>
    <row r="27" spans="1:20" ht="16" thickBot="1" x14ac:dyDescent="0.25">
      <c r="A27" s="14">
        <v>46046</v>
      </c>
      <c r="B27" s="6"/>
      <c r="C27" s="134"/>
      <c r="D27" s="2"/>
      <c r="E27" s="6"/>
      <c r="F27" s="134"/>
      <c r="G27" s="2"/>
      <c r="H27" s="8"/>
      <c r="I27" s="134"/>
      <c r="J27" s="4"/>
      <c r="K27" s="6"/>
      <c r="L27" s="134"/>
      <c r="M27" s="2"/>
      <c r="N27" s="8"/>
      <c r="O27" s="134"/>
      <c r="P27" s="4"/>
      <c r="Q27" s="6"/>
      <c r="R27" s="134"/>
      <c r="S27" s="2"/>
      <c r="T27" s="138">
        <f t="shared" si="1"/>
        <v>0</v>
      </c>
    </row>
    <row r="28" spans="1:20" ht="16" thickBot="1" x14ac:dyDescent="0.25">
      <c r="A28" s="14">
        <v>46047</v>
      </c>
      <c r="B28" s="6"/>
      <c r="C28" s="134"/>
      <c r="D28" s="2"/>
      <c r="E28" s="6" t="s">
        <v>212</v>
      </c>
      <c r="F28" s="134">
        <v>1800</v>
      </c>
      <c r="G28" s="2" t="s">
        <v>183</v>
      </c>
      <c r="H28" s="8"/>
      <c r="I28" s="134"/>
      <c r="J28" s="4"/>
      <c r="K28" s="6"/>
      <c r="L28" s="134"/>
      <c r="M28" s="2"/>
      <c r="N28" s="8"/>
      <c r="O28" s="134"/>
      <c r="P28" s="4"/>
      <c r="Q28" s="6"/>
      <c r="R28" s="134"/>
      <c r="S28" s="2"/>
      <c r="T28" s="138">
        <f t="shared" si="1"/>
        <v>1800</v>
      </c>
    </row>
    <row r="29" spans="1:20" ht="16" thickBot="1" x14ac:dyDescent="0.25">
      <c r="A29" s="14">
        <v>46048</v>
      </c>
      <c r="B29" s="6"/>
      <c r="C29" s="134"/>
      <c r="D29" s="2"/>
      <c r="E29" s="6"/>
      <c r="F29" s="134"/>
      <c r="G29" s="2"/>
      <c r="H29" s="8"/>
      <c r="I29" s="134"/>
      <c r="J29" s="4"/>
      <c r="K29" s="6"/>
      <c r="L29" s="134"/>
      <c r="M29" s="2"/>
      <c r="N29" s="8"/>
      <c r="O29" s="134"/>
      <c r="P29" s="4"/>
      <c r="Q29" s="6"/>
      <c r="R29" s="134"/>
      <c r="S29" s="2"/>
      <c r="T29" s="138">
        <f t="shared" si="1"/>
        <v>0</v>
      </c>
    </row>
    <row r="30" spans="1:20" ht="16" thickBot="1" x14ac:dyDescent="0.25">
      <c r="A30" s="14">
        <v>46049</v>
      </c>
      <c r="B30" s="6"/>
      <c r="C30" s="134"/>
      <c r="D30" s="2"/>
      <c r="E30" s="6"/>
      <c r="F30" s="134"/>
      <c r="G30" s="2"/>
      <c r="H30" s="8"/>
      <c r="I30" s="134"/>
      <c r="J30" s="4"/>
      <c r="K30" s="6"/>
      <c r="L30" s="134"/>
      <c r="M30" s="2"/>
      <c r="N30" s="8"/>
      <c r="O30" s="134"/>
      <c r="P30" s="4"/>
      <c r="Q30" s="6"/>
      <c r="R30" s="134"/>
      <c r="S30" s="2"/>
      <c r="T30" s="138">
        <f t="shared" si="1"/>
        <v>0</v>
      </c>
    </row>
    <row r="31" spans="1:20" ht="16" thickBot="1" x14ac:dyDescent="0.25">
      <c r="A31" s="14">
        <v>46050</v>
      </c>
      <c r="B31" s="6"/>
      <c r="C31" s="134"/>
      <c r="D31" s="2"/>
      <c r="E31" s="6"/>
      <c r="F31" s="134"/>
      <c r="G31" s="2"/>
      <c r="H31" s="8"/>
      <c r="I31" s="134"/>
      <c r="J31" s="4"/>
      <c r="K31" s="6"/>
      <c r="L31" s="134"/>
      <c r="M31" s="2"/>
      <c r="N31" s="8"/>
      <c r="O31" s="134"/>
      <c r="P31" s="4"/>
      <c r="Q31" s="6"/>
      <c r="R31" s="134"/>
      <c r="S31" s="2"/>
      <c r="T31" s="138">
        <f t="shared" si="0"/>
        <v>0</v>
      </c>
    </row>
    <row r="32" spans="1:20" ht="16" thickBot="1" x14ac:dyDescent="0.25">
      <c r="A32" s="14">
        <v>46051</v>
      </c>
      <c r="B32" s="6"/>
      <c r="C32" s="134"/>
      <c r="D32" s="2"/>
      <c r="E32" s="6"/>
      <c r="F32" s="134"/>
      <c r="G32" s="2"/>
      <c r="H32" s="8"/>
      <c r="I32" s="134"/>
      <c r="J32" s="4"/>
      <c r="K32" s="6"/>
      <c r="L32" s="134"/>
      <c r="M32" s="2"/>
      <c r="N32" s="8"/>
      <c r="O32" s="134"/>
      <c r="P32" s="4"/>
      <c r="Q32" s="6"/>
      <c r="R32" s="134"/>
      <c r="S32" s="2"/>
      <c r="T32" s="138">
        <f t="shared" si="0"/>
        <v>0</v>
      </c>
    </row>
    <row r="33" spans="1:20" ht="16" thickBot="1" x14ac:dyDescent="0.25">
      <c r="A33" s="14">
        <v>46052</v>
      </c>
      <c r="B33" s="6"/>
      <c r="C33" s="134"/>
      <c r="D33" s="2"/>
      <c r="E33" s="6" t="s">
        <v>213</v>
      </c>
      <c r="F33" s="134">
        <v>765</v>
      </c>
      <c r="G33" s="2" t="s">
        <v>183</v>
      </c>
      <c r="H33" s="8"/>
      <c r="I33" s="134"/>
      <c r="J33" s="4"/>
      <c r="K33" s="6"/>
      <c r="L33" s="134"/>
      <c r="M33" s="2"/>
      <c r="N33" s="8"/>
      <c r="O33" s="134"/>
      <c r="P33" s="4"/>
      <c r="Q33" s="6"/>
      <c r="R33" s="134"/>
      <c r="S33" s="2"/>
      <c r="T33" s="138">
        <f t="shared" si="0"/>
        <v>765</v>
      </c>
    </row>
    <row r="34" spans="1:20" ht="16" thickBot="1" x14ac:dyDescent="0.25">
      <c r="A34" s="14">
        <v>46053</v>
      </c>
      <c r="B34" s="129"/>
      <c r="C34" s="167"/>
      <c r="D34" s="130"/>
      <c r="E34" s="9" t="s">
        <v>213</v>
      </c>
      <c r="F34" s="169">
        <v>765</v>
      </c>
      <c r="G34" s="10" t="s">
        <v>183</v>
      </c>
      <c r="H34" s="11"/>
      <c r="I34" s="169"/>
      <c r="J34" s="12"/>
      <c r="K34" s="9"/>
      <c r="L34" s="169"/>
      <c r="M34" s="10"/>
      <c r="N34" s="8"/>
      <c r="O34" s="134"/>
      <c r="P34" s="4"/>
      <c r="Q34" s="9"/>
      <c r="R34" s="134"/>
      <c r="S34" s="10"/>
      <c r="T34" s="138">
        <f t="shared" si="0"/>
        <v>765</v>
      </c>
    </row>
    <row r="35" spans="1:20" ht="16" thickBot="1" x14ac:dyDescent="0.25">
      <c r="A35" s="41" t="s">
        <v>51</v>
      </c>
      <c r="B35" s="235">
        <v>8133.4</v>
      </c>
      <c r="C35" s="236"/>
      <c r="D35" s="237"/>
      <c r="E35" s="235">
        <v>12649.5</v>
      </c>
      <c r="F35" s="236"/>
      <c r="G35" s="237"/>
      <c r="H35" s="235">
        <v>12959.6</v>
      </c>
      <c r="I35" s="236"/>
      <c r="J35" s="237"/>
      <c r="K35" s="235">
        <v>3400</v>
      </c>
      <c r="L35" s="236"/>
      <c r="M35" s="237"/>
      <c r="N35" s="235">
        <v>16300</v>
      </c>
      <c r="O35" s="236"/>
      <c r="P35" s="237"/>
      <c r="Q35" s="235">
        <v>2400</v>
      </c>
      <c r="R35" s="236"/>
      <c r="S35" s="237"/>
      <c r="T35" s="238">
        <f>SUM(T4:T34)</f>
        <v>55842.5</v>
      </c>
    </row>
    <row r="36" spans="1:20" ht="17" thickBot="1" x14ac:dyDescent="0.25">
      <c r="B36" s="242" t="s">
        <v>11</v>
      </c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4"/>
      <c r="T36" s="239"/>
    </row>
  </sheetData>
  <mergeCells count="11">
    <mergeCell ref="B1:S1"/>
    <mergeCell ref="A1:A3"/>
    <mergeCell ref="B2:D2"/>
    <mergeCell ref="E2:G2"/>
    <mergeCell ref="H2:J2"/>
    <mergeCell ref="K2:M2"/>
    <mergeCell ref="T35:T36"/>
    <mergeCell ref="T2:T3"/>
    <mergeCell ref="B36:S36"/>
    <mergeCell ref="N2:P2"/>
    <mergeCell ref="Q2:S2"/>
  </mergeCells>
  <phoneticPr fontId="22" type="noConversion"/>
  <conditionalFormatting sqref="E35:G35">
    <cfRule type="iconSet" priority="15">
      <iconSet iconSet="3Flags">
        <cfvo type="percent" val="0"/>
        <cfvo type="num" val="0"/>
        <cfvo type="num" val="14000"/>
      </iconSet>
    </cfRule>
  </conditionalFormatting>
  <conditionalFormatting sqref="K35:M35">
    <cfRule type="iconSet" priority="10">
      <iconSet iconSet="3Flags">
        <cfvo type="percent" val="0"/>
        <cfvo type="num" val="0"/>
        <cfvo type="num" val="14000"/>
      </iconSet>
    </cfRule>
  </conditionalFormatting>
  <conditionalFormatting sqref="Q35:S35">
    <cfRule type="iconSet" priority="5">
      <iconSet iconSet="3Flags">
        <cfvo type="percent" val="0"/>
        <cfvo type="num" val="0"/>
        <cfvo type="num" val="14000"/>
      </iconSet>
    </cfRule>
  </conditionalFormatting>
  <dataValidations count="1">
    <dataValidation type="list" allowBlank="1" showInputMessage="1" showErrorMessage="1" sqref="J4:J34 G4:G34 M4:M34 S4:S34 D4:D34 P4:P34" xr:uid="{9E0FF472-1317-4D4B-8452-4C880A533FA1}">
      <formula1>"Booking,Airbnb,Cash,Bank transfer"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4" id="{5F0E85AE-0DCF-6B44-BF36-B817CA847CC3}">
            <x14:iconSet custom="1">
              <x14:cfvo type="percent">
                <xm:f>0</xm:f>
              </x14:cfvo>
              <x14:cfvo type="num">
                <xm:f>14000</xm:f>
              </x14:cfvo>
              <x14:cfvo type="num" gte="0">
                <xm:f>14000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E35:G35</xm:sqref>
        </x14:conditionalFormatting>
        <x14:conditionalFormatting xmlns:xm="http://schemas.microsoft.com/office/excel/2006/main">
          <x14:cfRule type="iconSet" priority="9" id="{318E10A0-E53F-7B40-A5CD-D5F20BF460FF}">
            <x14:iconSet custom="1">
              <x14:cfvo type="percent">
                <xm:f>0</xm:f>
              </x14:cfvo>
              <x14:cfvo type="num">
                <xm:f>14000</xm:f>
              </x14:cfvo>
              <x14:cfvo type="num" gte="0">
                <xm:f>14000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K35:M35</xm:sqref>
        </x14:conditionalFormatting>
        <x14:conditionalFormatting xmlns:xm="http://schemas.microsoft.com/office/excel/2006/main">
          <x14:cfRule type="iconSet" priority="4" id="{3EEAFB5B-8C34-E646-A007-C53DB682F91D}">
            <x14:iconSet custom="1">
              <x14:cfvo type="percent">
                <xm:f>0</xm:f>
              </x14:cfvo>
              <x14:cfvo type="num">
                <xm:f>14000</xm:f>
              </x14:cfvo>
              <x14:cfvo type="num" gte="0">
                <xm:f>14000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Q35:S35</xm:sqref>
        </x14:conditionalFormatting>
        <x14:conditionalFormatting xmlns:xm="http://schemas.microsoft.com/office/excel/2006/main">
          <x14:cfRule type="iconSet" priority="3" id="{94B3DE48-8273-E747-B226-280087F0CF86}">
            <x14:iconSet custom="1">
              <x14:cfvo type="percent">
                <xm:f>0</xm:f>
              </x14:cfvo>
              <x14:cfvo type="num">
                <xm:f>17000</xm:f>
              </x14:cfvo>
              <x14:cfvo type="num" gte="0">
                <xm:f>17000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B35</xm:sqref>
        </x14:conditionalFormatting>
        <x14:conditionalFormatting xmlns:xm="http://schemas.microsoft.com/office/excel/2006/main">
          <x14:cfRule type="iconSet" priority="2" id="{9AC6D3CC-3604-9241-B498-275DCEF6CB9A}">
            <x14:iconSet custom="1">
              <x14:cfvo type="percent">
                <xm:f>0</xm:f>
              </x14:cfvo>
              <x14:cfvo type="num">
                <xm:f>17000</xm:f>
              </x14:cfvo>
              <x14:cfvo type="num" gte="0">
                <xm:f>17000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H35</xm:sqref>
        </x14:conditionalFormatting>
        <x14:conditionalFormatting xmlns:xm="http://schemas.microsoft.com/office/excel/2006/main">
          <x14:cfRule type="iconSet" priority="1" id="{54C4A8E5-8B8C-6D45-BF2A-8C7906080B4B}">
            <x14:iconSet custom="1">
              <x14:cfvo type="percent">
                <xm:f>0</xm:f>
              </x14:cfvo>
              <x14:cfvo type="num">
                <xm:f>17000</xm:f>
              </x14:cfvo>
              <x14:cfvo type="num" gte="0">
                <xm:f>17000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N35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4096F-6EE9-40FC-8A08-D8C329218194}">
  <sheetPr codeName="Feuil3">
    <tabColor rgb="FFFFFF00"/>
  </sheetPr>
  <dimension ref="A1:T33"/>
  <sheetViews>
    <sheetView showGridLines="0" tabSelected="1" zoomScale="90" zoomScaleNormal="90" workbookViewId="0">
      <pane xSplit="1" topLeftCell="B1" activePane="topRight" state="frozen"/>
      <selection pane="topRight" activeCell="K24" sqref="K24"/>
    </sheetView>
  </sheetViews>
  <sheetFormatPr baseColWidth="10" defaultColWidth="10.83203125" defaultRowHeight="15" x14ac:dyDescent="0.2"/>
  <cols>
    <col min="2" max="2" width="15.6640625" customWidth="1"/>
    <col min="3" max="3" width="13.1640625" bestFit="1" customWidth="1"/>
    <col min="5" max="5" width="15.6640625" customWidth="1"/>
    <col min="6" max="6" width="14.1640625" bestFit="1" customWidth="1"/>
    <col min="8" max="8" width="17.5" bestFit="1" customWidth="1"/>
    <col min="9" max="9" width="14.1640625" bestFit="1" customWidth="1"/>
    <col min="11" max="11" width="15.6640625" customWidth="1"/>
    <col min="12" max="12" width="11.83203125" bestFit="1" customWidth="1"/>
    <col min="14" max="14" width="16.6640625" customWidth="1"/>
    <col min="15" max="15" width="13.1640625" bestFit="1" customWidth="1"/>
    <col min="16" max="16" width="12.83203125" customWidth="1"/>
    <col min="17" max="17" width="15.6640625" customWidth="1"/>
    <col min="18" max="18" width="13.1640625" bestFit="1" customWidth="1"/>
    <col min="19" max="19" width="11.5" customWidth="1"/>
    <col min="20" max="20" width="15.6640625" customWidth="1"/>
  </cols>
  <sheetData>
    <row r="1" spans="1:20" ht="30" thickBot="1" x14ac:dyDescent="0.4">
      <c r="A1" s="250" t="s">
        <v>0</v>
      </c>
      <c r="B1" s="248" t="s">
        <v>9</v>
      </c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</row>
    <row r="2" spans="1:20" ht="19" x14ac:dyDescent="0.2">
      <c r="A2" s="251"/>
      <c r="B2" s="245" t="s">
        <v>4</v>
      </c>
      <c r="C2" s="246"/>
      <c r="D2" s="247"/>
      <c r="E2" s="245" t="s">
        <v>5</v>
      </c>
      <c r="F2" s="246"/>
      <c r="G2" s="247"/>
      <c r="H2" s="245" t="s">
        <v>6</v>
      </c>
      <c r="I2" s="246"/>
      <c r="J2" s="247"/>
      <c r="K2" s="245" t="s">
        <v>7</v>
      </c>
      <c r="L2" s="246"/>
      <c r="M2" s="247"/>
      <c r="N2" s="245" t="s">
        <v>8</v>
      </c>
      <c r="O2" s="246"/>
      <c r="P2" s="247"/>
      <c r="Q2" s="245" t="s">
        <v>105</v>
      </c>
      <c r="R2" s="246"/>
      <c r="S2" s="247"/>
      <c r="T2" s="240" t="s">
        <v>10</v>
      </c>
    </row>
    <row r="3" spans="1:20" ht="20" thickBot="1" x14ac:dyDescent="0.25">
      <c r="A3" s="252"/>
      <c r="B3" s="16" t="s">
        <v>1</v>
      </c>
      <c r="C3" s="17" t="s">
        <v>2</v>
      </c>
      <c r="D3" s="18" t="s">
        <v>3</v>
      </c>
      <c r="E3" s="16" t="s">
        <v>1</v>
      </c>
      <c r="F3" s="17" t="s">
        <v>2</v>
      </c>
      <c r="G3" s="18" t="s">
        <v>3</v>
      </c>
      <c r="H3" s="16" t="s">
        <v>1</v>
      </c>
      <c r="I3" s="17" t="s">
        <v>2</v>
      </c>
      <c r="J3" s="18" t="s">
        <v>3</v>
      </c>
      <c r="K3" s="16" t="s">
        <v>1</v>
      </c>
      <c r="L3" s="17" t="s">
        <v>2</v>
      </c>
      <c r="M3" s="18" t="s">
        <v>3</v>
      </c>
      <c r="N3" s="16" t="s">
        <v>1</v>
      </c>
      <c r="O3" s="17" t="s">
        <v>2</v>
      </c>
      <c r="P3" s="18" t="s">
        <v>3</v>
      </c>
      <c r="Q3" s="16" t="s">
        <v>1</v>
      </c>
      <c r="R3" s="17" t="s">
        <v>2</v>
      </c>
      <c r="S3" s="18" t="s">
        <v>3</v>
      </c>
      <c r="T3" s="241"/>
    </row>
    <row r="4" spans="1:20" ht="16" thickBot="1" x14ac:dyDescent="0.25">
      <c r="A4" s="43">
        <v>46054</v>
      </c>
      <c r="B4" s="8"/>
      <c r="C4" s="134"/>
      <c r="D4" s="2"/>
      <c r="E4" s="6" t="s">
        <v>213</v>
      </c>
      <c r="F4" s="168">
        <v>765</v>
      </c>
      <c r="G4" s="2" t="s">
        <v>183</v>
      </c>
      <c r="H4" s="7"/>
      <c r="I4" s="135"/>
      <c r="J4" s="3"/>
      <c r="K4" s="5"/>
      <c r="L4" s="168"/>
      <c r="M4" s="1"/>
      <c r="N4" s="5"/>
      <c r="O4" s="168"/>
      <c r="P4" s="1"/>
      <c r="Q4" s="181"/>
      <c r="R4" s="168"/>
      <c r="S4" s="1"/>
      <c r="T4" s="187">
        <f>C4+F4+I4+L4+O4+R4</f>
        <v>765</v>
      </c>
    </row>
    <row r="5" spans="1:20" ht="16" thickBot="1" x14ac:dyDescent="0.25">
      <c r="A5" s="43">
        <v>46055</v>
      </c>
      <c r="B5" s="8"/>
      <c r="C5" s="134"/>
      <c r="D5" s="2"/>
      <c r="E5" s="6" t="s">
        <v>213</v>
      </c>
      <c r="F5" s="134">
        <v>765</v>
      </c>
      <c r="G5" s="2" t="s">
        <v>183</v>
      </c>
      <c r="H5" s="8"/>
      <c r="I5" s="134"/>
      <c r="J5" s="4"/>
      <c r="K5" s="6"/>
      <c r="L5" s="134"/>
      <c r="M5" s="2"/>
      <c r="N5" s="119"/>
      <c r="O5" s="135"/>
      <c r="P5" s="131"/>
      <c r="Q5" s="8"/>
      <c r="R5" s="134"/>
      <c r="S5" s="2"/>
      <c r="T5" s="187">
        <f t="shared" ref="T5:T31" si="0">C5+F5+I5+L5+O5+R5</f>
        <v>765</v>
      </c>
    </row>
    <row r="6" spans="1:20" ht="16" thickBot="1" x14ac:dyDescent="0.25">
      <c r="A6" s="43">
        <v>46056</v>
      </c>
      <c r="B6" s="8"/>
      <c r="C6" s="134"/>
      <c r="D6" s="2"/>
      <c r="E6" s="6" t="s">
        <v>213</v>
      </c>
      <c r="F6" s="134">
        <v>765</v>
      </c>
      <c r="G6" s="2" t="s">
        <v>183</v>
      </c>
      <c r="H6" s="8"/>
      <c r="I6" s="134"/>
      <c r="J6" s="4"/>
      <c r="K6" s="6"/>
      <c r="L6" s="134"/>
      <c r="M6" s="2"/>
      <c r="N6" s="119"/>
      <c r="O6" s="135"/>
      <c r="P6" s="131"/>
      <c r="Q6" s="8"/>
      <c r="R6" s="134"/>
      <c r="S6" s="2"/>
      <c r="T6" s="187">
        <f t="shared" si="0"/>
        <v>765</v>
      </c>
    </row>
    <row r="7" spans="1:20" ht="16" thickBot="1" x14ac:dyDescent="0.25">
      <c r="A7" s="43">
        <v>46057</v>
      </c>
      <c r="B7" s="8"/>
      <c r="C7" s="134"/>
      <c r="D7" s="2"/>
      <c r="E7" s="6" t="s">
        <v>213</v>
      </c>
      <c r="F7" s="134">
        <v>765</v>
      </c>
      <c r="G7" s="2" t="s">
        <v>183</v>
      </c>
      <c r="H7" s="8"/>
      <c r="I7" s="134"/>
      <c r="J7" s="4"/>
      <c r="K7" s="6"/>
      <c r="L7" s="134"/>
      <c r="M7" s="2"/>
      <c r="N7" s="119"/>
      <c r="O7" s="135"/>
      <c r="P7" s="131"/>
      <c r="Q7" s="8"/>
      <c r="R7" s="134"/>
      <c r="S7" s="2"/>
      <c r="T7" s="187">
        <f t="shared" si="0"/>
        <v>765</v>
      </c>
    </row>
    <row r="8" spans="1:20" ht="16" thickBot="1" x14ac:dyDescent="0.25">
      <c r="A8" s="43">
        <v>46058</v>
      </c>
      <c r="B8" s="8"/>
      <c r="C8" s="134"/>
      <c r="D8" s="2"/>
      <c r="E8" s="6" t="s">
        <v>213</v>
      </c>
      <c r="F8" s="134">
        <v>765</v>
      </c>
      <c r="G8" s="2" t="s">
        <v>183</v>
      </c>
      <c r="H8" s="8"/>
      <c r="I8" s="134"/>
      <c r="J8" s="4"/>
      <c r="K8" s="6"/>
      <c r="L8" s="134"/>
      <c r="M8" s="2"/>
      <c r="N8" s="119"/>
      <c r="O8" s="135"/>
      <c r="P8" s="131"/>
      <c r="Q8" s="8"/>
      <c r="R8" s="134"/>
      <c r="S8" s="2"/>
      <c r="T8" s="187">
        <f t="shared" si="0"/>
        <v>765</v>
      </c>
    </row>
    <row r="9" spans="1:20" ht="16" thickBot="1" x14ac:dyDescent="0.25">
      <c r="A9" s="43">
        <v>46059</v>
      </c>
      <c r="B9" s="8"/>
      <c r="C9" s="134"/>
      <c r="D9" s="2"/>
      <c r="E9" s="6" t="s">
        <v>213</v>
      </c>
      <c r="F9" s="134">
        <v>800</v>
      </c>
      <c r="G9" s="2" t="s">
        <v>185</v>
      </c>
      <c r="H9" s="8" t="s">
        <v>214</v>
      </c>
      <c r="I9" s="134">
        <v>1134</v>
      </c>
      <c r="J9" s="4" t="s">
        <v>183</v>
      </c>
      <c r="K9" s="6"/>
      <c r="L9" s="134"/>
      <c r="M9" s="2"/>
      <c r="N9" s="119"/>
      <c r="O9" s="135"/>
      <c r="P9" s="131"/>
      <c r="Q9" s="8"/>
      <c r="R9" s="134"/>
      <c r="S9" s="2"/>
      <c r="T9" s="187">
        <f t="shared" si="0"/>
        <v>1934</v>
      </c>
    </row>
    <row r="10" spans="1:20" ht="16" thickBot="1" x14ac:dyDescent="0.25">
      <c r="A10" s="43">
        <v>46060</v>
      </c>
      <c r="B10" s="8"/>
      <c r="C10" s="134"/>
      <c r="D10" s="2"/>
      <c r="E10" s="6"/>
      <c r="F10" s="134"/>
      <c r="G10" s="2"/>
      <c r="H10" s="8" t="s">
        <v>214</v>
      </c>
      <c r="I10" s="134">
        <v>1134</v>
      </c>
      <c r="J10" s="4" t="s">
        <v>183</v>
      </c>
      <c r="K10" s="6"/>
      <c r="L10" s="134"/>
      <c r="M10" s="2"/>
      <c r="N10" s="119"/>
      <c r="O10" s="135"/>
      <c r="P10" s="131"/>
      <c r="Q10" s="8"/>
      <c r="R10" s="134"/>
      <c r="S10" s="2"/>
      <c r="T10" s="187">
        <f t="shared" si="0"/>
        <v>1134</v>
      </c>
    </row>
    <row r="11" spans="1:20" ht="16" thickBot="1" x14ac:dyDescent="0.25">
      <c r="A11" s="43">
        <v>46061</v>
      </c>
      <c r="B11" s="8"/>
      <c r="C11" s="134"/>
      <c r="D11" s="2"/>
      <c r="E11" s="6" t="s">
        <v>215</v>
      </c>
      <c r="F11" s="134">
        <v>900</v>
      </c>
      <c r="G11" s="2" t="s">
        <v>183</v>
      </c>
      <c r="H11" s="8" t="s">
        <v>214</v>
      </c>
      <c r="I11" s="134">
        <v>1134</v>
      </c>
      <c r="J11" s="4" t="s">
        <v>183</v>
      </c>
      <c r="K11" s="6"/>
      <c r="L11" s="134"/>
      <c r="M11" s="2"/>
      <c r="N11" s="119"/>
      <c r="O11" s="135"/>
      <c r="P11" s="131"/>
      <c r="Q11" s="8"/>
      <c r="R11" s="134"/>
      <c r="S11" s="2"/>
      <c r="T11" s="187">
        <f t="shared" si="0"/>
        <v>2034</v>
      </c>
    </row>
    <row r="12" spans="1:20" ht="16" thickBot="1" x14ac:dyDescent="0.25">
      <c r="A12" s="43">
        <v>46062</v>
      </c>
      <c r="B12" s="8"/>
      <c r="C12" s="134"/>
      <c r="D12" s="2"/>
      <c r="E12" s="6" t="s">
        <v>215</v>
      </c>
      <c r="F12" s="134">
        <v>900</v>
      </c>
      <c r="G12" s="2" t="s">
        <v>183</v>
      </c>
      <c r="H12" s="8" t="s">
        <v>214</v>
      </c>
      <c r="I12" s="134">
        <v>1134</v>
      </c>
      <c r="J12" s="4" t="s">
        <v>183</v>
      </c>
      <c r="K12" s="6"/>
      <c r="L12" s="134"/>
      <c r="M12" s="2"/>
      <c r="N12" s="119"/>
      <c r="O12" s="135"/>
      <c r="P12" s="131"/>
      <c r="Q12" s="8"/>
      <c r="R12" s="134"/>
      <c r="S12" s="2"/>
      <c r="T12" s="187">
        <f t="shared" si="0"/>
        <v>2034</v>
      </c>
    </row>
    <row r="13" spans="1:20" ht="16" thickBot="1" x14ac:dyDescent="0.25">
      <c r="A13" s="43">
        <v>46063</v>
      </c>
      <c r="B13" s="8"/>
      <c r="C13" s="134"/>
      <c r="D13" s="2"/>
      <c r="E13" s="6"/>
      <c r="F13" s="134"/>
      <c r="G13" s="2"/>
      <c r="H13" s="11"/>
      <c r="I13" s="169"/>
      <c r="J13" s="12"/>
      <c r="K13" s="6"/>
      <c r="L13" s="134"/>
      <c r="M13" s="2"/>
      <c r="N13" s="188" t="s">
        <v>217</v>
      </c>
      <c r="O13" s="189"/>
      <c r="P13" s="190"/>
      <c r="Q13" s="8"/>
      <c r="R13" s="134"/>
      <c r="S13" s="2"/>
      <c r="T13" s="187">
        <f t="shared" si="0"/>
        <v>0</v>
      </c>
    </row>
    <row r="14" spans="1:20" ht="16" thickBot="1" x14ac:dyDescent="0.25">
      <c r="A14" s="43">
        <v>46064</v>
      </c>
      <c r="B14" s="8"/>
      <c r="C14" s="134"/>
      <c r="D14" s="2"/>
      <c r="E14" s="35"/>
      <c r="F14" s="134"/>
      <c r="G14" s="2"/>
      <c r="H14" s="6"/>
      <c r="I14" s="134"/>
      <c r="J14" s="2"/>
      <c r="K14" s="6"/>
      <c r="L14" s="134"/>
      <c r="M14" s="2"/>
      <c r="N14" s="188" t="s">
        <v>217</v>
      </c>
      <c r="O14" s="189"/>
      <c r="P14" s="190"/>
      <c r="Q14" s="8"/>
      <c r="R14" s="134"/>
      <c r="S14" s="2"/>
      <c r="T14" s="187">
        <f t="shared" si="0"/>
        <v>0</v>
      </c>
    </row>
    <row r="15" spans="1:20" ht="16" thickBot="1" x14ac:dyDescent="0.25">
      <c r="A15" s="43">
        <v>46065</v>
      </c>
      <c r="B15" s="8"/>
      <c r="C15" s="134"/>
      <c r="D15" s="2"/>
      <c r="E15" s="35"/>
      <c r="F15" s="134"/>
      <c r="G15" s="2"/>
      <c r="H15" s="7"/>
      <c r="I15" s="135"/>
      <c r="J15" s="3"/>
      <c r="K15" s="6"/>
      <c r="L15" s="134"/>
      <c r="M15" s="2"/>
      <c r="N15" s="188" t="s">
        <v>217</v>
      </c>
      <c r="O15" s="189"/>
      <c r="P15" s="190"/>
      <c r="Q15" s="8"/>
      <c r="R15" s="134"/>
      <c r="S15" s="2"/>
      <c r="T15" s="187">
        <f t="shared" si="0"/>
        <v>0</v>
      </c>
    </row>
    <row r="16" spans="1:20" ht="16" thickBot="1" x14ac:dyDescent="0.25">
      <c r="A16" s="43">
        <v>46066</v>
      </c>
      <c r="B16" s="8"/>
      <c r="C16" s="134"/>
      <c r="D16" s="2"/>
      <c r="E16" s="35"/>
      <c r="F16" s="134"/>
      <c r="G16" s="2"/>
      <c r="H16" s="8" t="s">
        <v>216</v>
      </c>
      <c r="I16" s="134">
        <v>1200</v>
      </c>
      <c r="J16" s="4" t="s">
        <v>185</v>
      </c>
      <c r="K16" s="6"/>
      <c r="L16" s="134"/>
      <c r="M16" s="2"/>
      <c r="N16" s="188" t="s">
        <v>217</v>
      </c>
      <c r="O16" s="189"/>
      <c r="P16" s="190"/>
      <c r="Q16" s="8"/>
      <c r="R16" s="134"/>
      <c r="S16" s="2"/>
      <c r="T16" s="187">
        <f t="shared" si="0"/>
        <v>1200</v>
      </c>
    </row>
    <row r="17" spans="1:20" ht="16" thickBot="1" x14ac:dyDescent="0.25">
      <c r="A17" s="43">
        <v>46067</v>
      </c>
      <c r="B17" s="8"/>
      <c r="C17" s="134"/>
      <c r="D17" s="2"/>
      <c r="E17" s="35"/>
      <c r="F17" s="134"/>
      <c r="G17" s="2"/>
      <c r="H17" s="8"/>
      <c r="I17" s="134"/>
      <c r="J17" s="4"/>
      <c r="K17" s="6"/>
      <c r="L17" s="134"/>
      <c r="M17" s="2"/>
      <c r="N17" s="188" t="s">
        <v>217</v>
      </c>
      <c r="O17" s="189"/>
      <c r="P17" s="190"/>
      <c r="Q17" s="8"/>
      <c r="R17" s="134"/>
      <c r="S17" s="2"/>
      <c r="T17" s="187">
        <f t="shared" si="0"/>
        <v>0</v>
      </c>
    </row>
    <row r="18" spans="1:20" ht="16" thickBot="1" x14ac:dyDescent="0.25">
      <c r="A18" s="43">
        <v>46068</v>
      </c>
      <c r="B18" s="8"/>
      <c r="C18" s="134"/>
      <c r="D18" s="2"/>
      <c r="E18" s="35"/>
      <c r="F18" s="134"/>
      <c r="G18" s="2"/>
      <c r="H18" s="8"/>
      <c r="I18" s="134"/>
      <c r="J18" s="4"/>
      <c r="K18" s="6"/>
      <c r="L18" s="134"/>
      <c r="M18" s="2"/>
      <c r="N18" s="188" t="s">
        <v>217</v>
      </c>
      <c r="O18" s="189"/>
      <c r="P18" s="190"/>
      <c r="Q18" s="8"/>
      <c r="R18" s="134"/>
      <c r="S18" s="2"/>
      <c r="T18" s="187">
        <f t="shared" si="0"/>
        <v>0</v>
      </c>
    </row>
    <row r="19" spans="1:20" ht="16" thickBot="1" x14ac:dyDescent="0.25">
      <c r="A19" s="43">
        <v>46069</v>
      </c>
      <c r="B19" s="8"/>
      <c r="C19" s="134"/>
      <c r="D19" s="2"/>
      <c r="E19" s="35"/>
      <c r="F19" s="134"/>
      <c r="G19" s="2"/>
      <c r="H19" s="8"/>
      <c r="I19" s="134"/>
      <c r="J19" s="4"/>
      <c r="K19" s="6"/>
      <c r="L19" s="134"/>
      <c r="M19" s="2"/>
      <c r="N19" s="188" t="s">
        <v>217</v>
      </c>
      <c r="O19" s="189"/>
      <c r="P19" s="190"/>
      <c r="Q19" s="8"/>
      <c r="R19" s="134"/>
      <c r="S19" s="2"/>
      <c r="T19" s="187">
        <f t="shared" si="0"/>
        <v>0</v>
      </c>
    </row>
    <row r="20" spans="1:20" ht="16" thickBot="1" x14ac:dyDescent="0.25">
      <c r="A20" s="43">
        <v>46070</v>
      </c>
      <c r="B20" s="8"/>
      <c r="C20" s="134"/>
      <c r="D20" s="2"/>
      <c r="E20" s="35"/>
      <c r="F20" s="134"/>
      <c r="G20" s="2"/>
      <c r="H20" s="8"/>
      <c r="I20" s="134"/>
      <c r="J20" s="4"/>
      <c r="K20" s="6"/>
      <c r="L20" s="134"/>
      <c r="M20" s="2"/>
      <c r="N20" s="119"/>
      <c r="O20" s="135"/>
      <c r="P20" s="131"/>
      <c r="Q20" s="8"/>
      <c r="R20" s="134"/>
      <c r="S20" s="2"/>
      <c r="T20" s="187">
        <f t="shared" si="0"/>
        <v>0</v>
      </c>
    </row>
    <row r="21" spans="1:20" ht="16" thickBot="1" x14ac:dyDescent="0.25">
      <c r="A21" s="43">
        <v>46071</v>
      </c>
      <c r="B21" s="8"/>
      <c r="C21" s="134"/>
      <c r="D21" s="2"/>
      <c r="E21" s="35"/>
      <c r="F21" s="134"/>
      <c r="G21" s="2"/>
      <c r="H21" s="8"/>
      <c r="I21" s="134"/>
      <c r="J21" s="4"/>
      <c r="K21" s="6"/>
      <c r="L21" s="134"/>
      <c r="M21" s="2"/>
      <c r="N21" s="119"/>
      <c r="O21" s="135"/>
      <c r="P21" s="131"/>
      <c r="Q21" s="8"/>
      <c r="R21" s="134"/>
      <c r="S21" s="2"/>
      <c r="T21" s="187">
        <f t="shared" si="0"/>
        <v>0</v>
      </c>
    </row>
    <row r="22" spans="1:20" ht="16" thickBot="1" x14ac:dyDescent="0.25">
      <c r="A22" s="43">
        <v>46072</v>
      </c>
      <c r="B22" s="8"/>
      <c r="C22" s="134"/>
      <c r="D22" s="2"/>
      <c r="E22" s="35"/>
      <c r="F22" s="134"/>
      <c r="G22" s="2"/>
      <c r="H22" s="8"/>
      <c r="I22" s="134"/>
      <c r="J22" s="4"/>
      <c r="K22" s="6"/>
      <c r="L22" s="134"/>
      <c r="M22" s="2"/>
      <c r="N22" s="119"/>
      <c r="O22" s="135"/>
      <c r="P22" s="131"/>
      <c r="Q22" s="8"/>
      <c r="R22" s="134"/>
      <c r="S22" s="2"/>
      <c r="T22" s="187">
        <f t="shared" si="0"/>
        <v>0</v>
      </c>
    </row>
    <row r="23" spans="1:20" ht="16" thickBot="1" x14ac:dyDescent="0.25">
      <c r="A23" s="43">
        <v>46073</v>
      </c>
      <c r="B23" s="8"/>
      <c r="C23" s="134"/>
      <c r="D23" s="2"/>
      <c r="E23" s="6"/>
      <c r="F23" s="134"/>
      <c r="G23" s="2"/>
      <c r="H23" s="8"/>
      <c r="I23" s="134"/>
      <c r="J23" s="4"/>
      <c r="K23" s="6"/>
      <c r="L23" s="134"/>
      <c r="M23" s="2"/>
      <c r="N23" s="119"/>
      <c r="O23" s="135"/>
      <c r="P23" s="131"/>
      <c r="Q23" s="8"/>
      <c r="R23" s="134"/>
      <c r="S23" s="2"/>
      <c r="T23" s="187">
        <f t="shared" si="0"/>
        <v>0</v>
      </c>
    </row>
    <row r="24" spans="1:20" ht="16" thickBot="1" x14ac:dyDescent="0.25">
      <c r="A24" s="43">
        <v>46074</v>
      </c>
      <c r="B24" s="8"/>
      <c r="C24" s="134"/>
      <c r="D24" s="2"/>
      <c r="E24" s="6"/>
      <c r="F24" s="134"/>
      <c r="G24" s="2"/>
      <c r="H24" s="8"/>
      <c r="I24" s="134"/>
      <c r="J24" s="4"/>
      <c r="K24" s="6"/>
      <c r="L24" s="134"/>
      <c r="M24" s="2"/>
      <c r="N24" s="119"/>
      <c r="O24" s="135"/>
      <c r="P24" s="131"/>
      <c r="Q24" s="8"/>
      <c r="R24" s="134"/>
      <c r="S24" s="2"/>
      <c r="T24" s="187">
        <f t="shared" si="0"/>
        <v>0</v>
      </c>
    </row>
    <row r="25" spans="1:20" ht="16" thickBot="1" x14ac:dyDescent="0.25">
      <c r="A25" s="43">
        <v>46075</v>
      </c>
      <c r="B25" s="8"/>
      <c r="C25" s="134"/>
      <c r="D25" s="2"/>
      <c r="E25" s="6"/>
      <c r="F25" s="134"/>
      <c r="G25" s="2"/>
      <c r="H25" s="8"/>
      <c r="I25" s="134"/>
      <c r="J25" s="4"/>
      <c r="K25" s="6"/>
      <c r="L25" s="134"/>
      <c r="M25" s="2"/>
      <c r="N25" s="119"/>
      <c r="O25" s="135"/>
      <c r="P25" s="131"/>
      <c r="Q25" s="8"/>
      <c r="R25" s="134"/>
      <c r="S25" s="2"/>
      <c r="T25" s="187">
        <f t="shared" si="0"/>
        <v>0</v>
      </c>
    </row>
    <row r="26" spans="1:20" ht="16" thickBot="1" x14ac:dyDescent="0.25">
      <c r="A26" s="43">
        <v>46076</v>
      </c>
      <c r="B26" s="8"/>
      <c r="C26" s="134"/>
      <c r="D26" s="2"/>
      <c r="E26" s="6"/>
      <c r="F26" s="134"/>
      <c r="G26" s="2"/>
      <c r="H26" s="8"/>
      <c r="I26" s="134"/>
      <c r="J26" s="4"/>
      <c r="K26" s="6"/>
      <c r="L26" s="134"/>
      <c r="M26" s="2"/>
      <c r="N26" s="119"/>
      <c r="O26" s="135"/>
      <c r="P26" s="131"/>
      <c r="Q26" s="8"/>
      <c r="R26" s="134"/>
      <c r="S26" s="2"/>
      <c r="T26" s="187">
        <f t="shared" si="0"/>
        <v>0</v>
      </c>
    </row>
    <row r="27" spans="1:20" ht="16" thickBot="1" x14ac:dyDescent="0.25">
      <c r="A27" s="43">
        <v>46077</v>
      </c>
      <c r="B27" s="8"/>
      <c r="C27" s="134"/>
      <c r="D27" s="2"/>
      <c r="E27" s="6"/>
      <c r="F27" s="134"/>
      <c r="G27" s="2"/>
      <c r="H27" s="8"/>
      <c r="I27" s="134"/>
      <c r="J27" s="4"/>
      <c r="K27" s="6"/>
      <c r="L27" s="134"/>
      <c r="M27" s="2"/>
      <c r="N27" s="119"/>
      <c r="O27" s="135"/>
      <c r="P27" s="131"/>
      <c r="Q27" s="8"/>
      <c r="R27" s="134"/>
      <c r="S27" s="2"/>
      <c r="T27" s="187">
        <f t="shared" si="0"/>
        <v>0</v>
      </c>
    </row>
    <row r="28" spans="1:20" ht="16" thickBot="1" x14ac:dyDescent="0.25">
      <c r="A28" s="43">
        <v>46078</v>
      </c>
      <c r="B28" s="8"/>
      <c r="C28" s="134"/>
      <c r="D28" s="2"/>
      <c r="E28" s="6"/>
      <c r="F28" s="134"/>
      <c r="G28" s="2"/>
      <c r="H28" s="8"/>
      <c r="I28" s="134"/>
      <c r="J28" s="4"/>
      <c r="K28" s="6"/>
      <c r="L28" s="134"/>
      <c r="M28" s="2"/>
      <c r="N28" s="119"/>
      <c r="O28" s="135"/>
      <c r="P28" s="131"/>
      <c r="Q28" s="8"/>
      <c r="R28" s="134"/>
      <c r="S28" s="2"/>
      <c r="T28" s="187">
        <f t="shared" si="0"/>
        <v>0</v>
      </c>
    </row>
    <row r="29" spans="1:20" ht="16" thickBot="1" x14ac:dyDescent="0.25">
      <c r="A29" s="43">
        <v>46079</v>
      </c>
      <c r="B29" s="8"/>
      <c r="C29" s="134"/>
      <c r="D29" s="2"/>
      <c r="E29" s="6"/>
      <c r="F29" s="134"/>
      <c r="G29" s="2"/>
      <c r="H29" s="8"/>
      <c r="I29" s="134"/>
      <c r="J29" s="4"/>
      <c r="K29" s="6"/>
      <c r="L29" s="134"/>
      <c r="M29" s="2"/>
      <c r="N29" s="119"/>
      <c r="O29" s="135"/>
      <c r="P29" s="131"/>
      <c r="Q29" s="8"/>
      <c r="R29" s="134"/>
      <c r="S29" s="2"/>
      <c r="T29" s="187">
        <f t="shared" si="0"/>
        <v>0</v>
      </c>
    </row>
    <row r="30" spans="1:20" ht="16" thickBot="1" x14ac:dyDescent="0.25">
      <c r="A30" s="43">
        <v>46080</v>
      </c>
      <c r="B30" s="8"/>
      <c r="C30" s="134"/>
      <c r="D30" s="2"/>
      <c r="E30" s="6"/>
      <c r="F30" s="134"/>
      <c r="G30" s="2"/>
      <c r="H30" s="8"/>
      <c r="I30" s="134"/>
      <c r="J30" s="4"/>
      <c r="K30" s="6"/>
      <c r="L30" s="134"/>
      <c r="M30" s="2"/>
      <c r="N30" s="119"/>
      <c r="O30" s="135"/>
      <c r="P30" s="131"/>
      <c r="Q30" s="7"/>
      <c r="R30" s="135"/>
      <c r="S30" s="3"/>
      <c r="T30" s="187">
        <f t="shared" si="0"/>
        <v>0</v>
      </c>
    </row>
    <row r="31" spans="1:20" ht="16" thickBot="1" x14ac:dyDescent="0.25">
      <c r="A31" s="43">
        <v>46081</v>
      </c>
      <c r="B31" s="8"/>
      <c r="C31" s="134"/>
      <c r="D31" s="2"/>
      <c r="E31" s="6"/>
      <c r="F31" s="134"/>
      <c r="G31" s="2"/>
      <c r="H31" s="8"/>
      <c r="I31" s="134"/>
      <c r="J31" s="4"/>
      <c r="K31" s="6"/>
      <c r="L31" s="134"/>
      <c r="M31" s="2"/>
      <c r="N31" s="182"/>
      <c r="O31" s="186"/>
      <c r="P31" s="183"/>
      <c r="Q31" s="7"/>
      <c r="R31" s="135"/>
      <c r="S31" s="3"/>
      <c r="T31" s="187">
        <f t="shared" si="0"/>
        <v>0</v>
      </c>
    </row>
    <row r="32" spans="1:20" ht="16" thickBot="1" x14ac:dyDescent="0.25">
      <c r="A32" s="41" t="s">
        <v>51</v>
      </c>
      <c r="B32" s="255">
        <f>SUM(C1:C31)</f>
        <v>0</v>
      </c>
      <c r="C32" s="256"/>
      <c r="D32" s="257"/>
      <c r="E32" s="255">
        <f>SUM(F1:F31)</f>
        <v>6425</v>
      </c>
      <c r="F32" s="256"/>
      <c r="G32" s="257"/>
      <c r="H32" s="255">
        <f>SUM(I1:I31)</f>
        <v>5736</v>
      </c>
      <c r="I32" s="256"/>
      <c r="J32" s="257"/>
      <c r="K32" s="255">
        <f>SUM(L1:L31)</f>
        <v>0</v>
      </c>
      <c r="L32" s="256"/>
      <c r="M32" s="257"/>
      <c r="N32" s="255">
        <f>SUM(O1:O31)</f>
        <v>0</v>
      </c>
      <c r="O32" s="256"/>
      <c r="P32" s="257"/>
      <c r="Q32" s="255">
        <f>SUM(R4:R31)</f>
        <v>0</v>
      </c>
      <c r="R32" s="256"/>
      <c r="S32" s="257"/>
      <c r="T32" s="238">
        <f>SUM(T4:T31)</f>
        <v>12161</v>
      </c>
    </row>
    <row r="33" spans="2:20" ht="17" thickBot="1" x14ac:dyDescent="0.25">
      <c r="B33" s="253" t="s">
        <v>11</v>
      </c>
      <c r="C33" s="254"/>
      <c r="D33" s="254"/>
      <c r="E33" s="254"/>
      <c r="F33" s="254"/>
      <c r="G33" s="254"/>
      <c r="H33" s="254"/>
      <c r="I33" s="254"/>
      <c r="J33" s="254"/>
      <c r="K33" s="254"/>
      <c r="L33" s="254"/>
      <c r="M33" s="254"/>
      <c r="N33" s="254"/>
      <c r="O33" s="254"/>
      <c r="P33" s="254"/>
      <c r="Q33" s="254"/>
      <c r="R33" s="254"/>
      <c r="S33" s="254"/>
      <c r="T33" s="239"/>
    </row>
  </sheetData>
  <mergeCells count="17">
    <mergeCell ref="B1:S1"/>
    <mergeCell ref="A1:A3"/>
    <mergeCell ref="B2:D2"/>
    <mergeCell ref="E2:G2"/>
    <mergeCell ref="H2:J2"/>
    <mergeCell ref="K2:M2"/>
    <mergeCell ref="T32:T33"/>
    <mergeCell ref="B33:S33"/>
    <mergeCell ref="T2:T3"/>
    <mergeCell ref="N2:P2"/>
    <mergeCell ref="Q2:S2"/>
    <mergeCell ref="B32:D32"/>
    <mergeCell ref="E32:G32"/>
    <mergeCell ref="H32:J32"/>
    <mergeCell ref="K32:M32"/>
    <mergeCell ref="N32:P32"/>
    <mergeCell ref="Q32:S32"/>
  </mergeCells>
  <dataValidations count="1">
    <dataValidation type="list" allowBlank="1" showInputMessage="1" showErrorMessage="1" sqref="J4:J31 S4:S31 G4:G31 M4:M31 D4:D31 P4:P31" xr:uid="{993C8A4A-AAD6-4963-8128-D3897980321E}">
      <formula1>"Booking,Airbnb,Cash,Bank transfer"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EFDE0668-D495-8D4B-BF3C-AD4FBECBDB30}">
            <x14:iconSet custom="1">
              <x14:cfvo type="percent">
                <xm:f>0</xm:f>
              </x14:cfvo>
              <x14:cfvo type="num">
                <xm:f>17000</xm:f>
              </x14:cfvo>
              <x14:cfvo type="num" gte="0">
                <xm:f>17000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B32 H32 N32</xm:sqref>
        </x14:conditionalFormatting>
        <x14:conditionalFormatting xmlns:xm="http://schemas.microsoft.com/office/excel/2006/main">
          <x14:cfRule type="iconSet" priority="8" id="{629DFF65-176B-E344-B187-CEB1FC8A4F1C}">
            <x14:iconSet custom="1">
              <x14:cfvo type="percent">
                <xm:f>0</xm:f>
              </x14:cfvo>
              <x14:cfvo type="num">
                <xm:f>14000</xm:f>
              </x14:cfvo>
              <x14:cfvo type="num" gte="0">
                <xm:f>14000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E32 K32 Q32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6F25C-91F6-47E7-BD3A-CB541052E38F}">
  <sheetPr codeName="Feuil4"/>
  <dimension ref="A1:T36"/>
  <sheetViews>
    <sheetView showGridLines="0" topLeftCell="A3" zoomScale="91" zoomScaleNormal="70" workbookViewId="0">
      <selection activeCell="A4" sqref="A4:A34"/>
    </sheetView>
  </sheetViews>
  <sheetFormatPr baseColWidth="10" defaultColWidth="10.83203125" defaultRowHeight="15" x14ac:dyDescent="0.2"/>
  <cols>
    <col min="1" max="1" width="11.33203125" customWidth="1"/>
    <col min="2" max="2" width="15.6640625" customWidth="1"/>
    <col min="3" max="3" width="12.83203125" customWidth="1"/>
    <col min="5" max="5" width="15.6640625" customWidth="1"/>
    <col min="6" max="6" width="12.83203125" customWidth="1"/>
    <col min="8" max="8" width="15.6640625" customWidth="1"/>
    <col min="9" max="9" width="12.83203125" customWidth="1"/>
    <col min="11" max="11" width="15.6640625" customWidth="1"/>
    <col min="12" max="12" width="12.83203125" customWidth="1"/>
    <col min="14" max="14" width="15.6640625" customWidth="1"/>
    <col min="15" max="15" width="12.83203125" customWidth="1"/>
    <col min="17" max="17" width="15.6640625" customWidth="1"/>
    <col min="18" max="18" width="12.83203125" customWidth="1"/>
    <col min="20" max="20" width="16.33203125" customWidth="1"/>
  </cols>
  <sheetData>
    <row r="1" spans="1:20" s="15" customFormat="1" ht="30" thickBot="1" x14ac:dyDescent="0.4">
      <c r="A1" s="250" t="s">
        <v>0</v>
      </c>
      <c r="B1" s="248" t="s">
        <v>9</v>
      </c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/>
    </row>
    <row r="2" spans="1:20" ht="18.5" customHeight="1" x14ac:dyDescent="0.2">
      <c r="A2" s="251"/>
      <c r="B2" s="245" t="s">
        <v>4</v>
      </c>
      <c r="C2" s="246"/>
      <c r="D2" s="247"/>
      <c r="E2" s="245" t="s">
        <v>5</v>
      </c>
      <c r="F2" s="246"/>
      <c r="G2" s="247"/>
      <c r="H2" s="245" t="s">
        <v>6</v>
      </c>
      <c r="I2" s="246"/>
      <c r="J2" s="247"/>
      <c r="K2" s="245" t="s">
        <v>7</v>
      </c>
      <c r="L2" s="246"/>
      <c r="M2" s="247"/>
      <c r="N2" s="245" t="s">
        <v>8</v>
      </c>
      <c r="O2" s="246"/>
      <c r="P2" s="247"/>
      <c r="Q2" s="245" t="s">
        <v>105</v>
      </c>
      <c r="R2" s="246"/>
      <c r="S2" s="247"/>
      <c r="T2" s="240" t="s">
        <v>10</v>
      </c>
    </row>
    <row r="3" spans="1:20" ht="19" customHeight="1" thickBot="1" x14ac:dyDescent="0.25">
      <c r="A3" s="252"/>
      <c r="B3" s="16" t="s">
        <v>1</v>
      </c>
      <c r="C3" s="17" t="s">
        <v>2</v>
      </c>
      <c r="D3" s="18" t="s">
        <v>3</v>
      </c>
      <c r="E3" s="16" t="s">
        <v>1</v>
      </c>
      <c r="F3" s="17" t="s">
        <v>2</v>
      </c>
      <c r="G3" s="18" t="s">
        <v>3</v>
      </c>
      <c r="H3" s="16" t="s">
        <v>1</v>
      </c>
      <c r="I3" s="17" t="s">
        <v>2</v>
      </c>
      <c r="J3" s="18" t="s">
        <v>3</v>
      </c>
      <c r="K3" s="16" t="s">
        <v>1</v>
      </c>
      <c r="L3" s="17" t="s">
        <v>2</v>
      </c>
      <c r="M3" s="18" t="s">
        <v>3</v>
      </c>
      <c r="N3" s="16" t="s">
        <v>1</v>
      </c>
      <c r="O3" s="17" t="s">
        <v>2</v>
      </c>
      <c r="P3" s="18" t="s">
        <v>3</v>
      </c>
      <c r="Q3" s="16" t="s">
        <v>1</v>
      </c>
      <c r="R3" s="17" t="s">
        <v>2</v>
      </c>
      <c r="S3" s="18" t="s">
        <v>3</v>
      </c>
      <c r="T3" s="241"/>
    </row>
    <row r="4" spans="1:20" ht="16" thickBot="1" x14ac:dyDescent="0.25">
      <c r="A4" s="14">
        <v>46082</v>
      </c>
      <c r="B4" s="5"/>
      <c r="C4" s="168"/>
      <c r="D4" s="1"/>
      <c r="E4" s="5"/>
      <c r="F4" s="168"/>
      <c r="G4" s="1"/>
      <c r="H4" s="7"/>
      <c r="I4" s="134"/>
      <c r="J4" s="3"/>
      <c r="K4" s="5"/>
      <c r="L4" s="168"/>
      <c r="M4" s="1"/>
      <c r="N4" s="7"/>
      <c r="O4" s="135"/>
      <c r="P4" s="3"/>
      <c r="Q4" s="6"/>
      <c r="R4" s="134"/>
      <c r="S4" s="2"/>
      <c r="T4" s="138">
        <f>C4+F4+I4+L4+O4+R4</f>
        <v>0</v>
      </c>
    </row>
    <row r="5" spans="1:20" ht="16" thickBot="1" x14ac:dyDescent="0.25">
      <c r="A5" s="14">
        <v>46083</v>
      </c>
      <c r="B5" s="6"/>
      <c r="C5" s="134"/>
      <c r="D5" s="2"/>
      <c r="E5" s="6"/>
      <c r="F5" s="134"/>
      <c r="G5" s="2"/>
      <c r="H5" s="8"/>
      <c r="I5" s="134"/>
      <c r="J5" s="4"/>
      <c r="K5" s="6"/>
      <c r="L5" s="134"/>
      <c r="M5" s="2"/>
      <c r="N5" s="7"/>
      <c r="O5" s="135"/>
      <c r="P5" s="4"/>
      <c r="Q5" s="6"/>
      <c r="R5" s="134"/>
      <c r="S5" s="2"/>
      <c r="T5" s="138">
        <f t="shared" ref="T5:T34" si="0">C5+F5+I5+L5+O5+R5</f>
        <v>0</v>
      </c>
    </row>
    <row r="6" spans="1:20" ht="16" thickBot="1" x14ac:dyDescent="0.25">
      <c r="A6" s="14">
        <v>46084</v>
      </c>
      <c r="B6" s="6"/>
      <c r="C6" s="134"/>
      <c r="D6" s="2"/>
      <c r="E6" s="6"/>
      <c r="F6" s="134"/>
      <c r="G6" s="2"/>
      <c r="H6" s="8"/>
      <c r="I6" s="134"/>
      <c r="J6" s="4"/>
      <c r="K6" s="6"/>
      <c r="L6" s="134"/>
      <c r="M6" s="2"/>
      <c r="N6" s="7"/>
      <c r="O6" s="135"/>
      <c r="P6" s="4"/>
      <c r="Q6" s="6"/>
      <c r="R6" s="134"/>
      <c r="S6" s="2"/>
      <c r="T6" s="138">
        <f t="shared" si="0"/>
        <v>0</v>
      </c>
    </row>
    <row r="7" spans="1:20" ht="16" thickBot="1" x14ac:dyDescent="0.25">
      <c r="A7" s="14">
        <v>46085</v>
      </c>
      <c r="B7" s="6"/>
      <c r="C7" s="134"/>
      <c r="D7" s="2"/>
      <c r="E7" s="6"/>
      <c r="F7" s="134"/>
      <c r="G7" s="2"/>
      <c r="H7" s="8"/>
      <c r="I7" s="134"/>
      <c r="J7" s="4"/>
      <c r="K7" s="6"/>
      <c r="L7" s="134"/>
      <c r="M7" s="2"/>
      <c r="N7" s="7"/>
      <c r="O7" s="135"/>
      <c r="P7" s="4"/>
      <c r="Q7" s="6"/>
      <c r="R7" s="134"/>
      <c r="S7" s="2"/>
      <c r="T7" s="138">
        <f t="shared" si="0"/>
        <v>0</v>
      </c>
    </row>
    <row r="8" spans="1:20" ht="16" thickBot="1" x14ac:dyDescent="0.25">
      <c r="A8" s="14">
        <v>46086</v>
      </c>
      <c r="B8" s="6"/>
      <c r="C8" s="134"/>
      <c r="D8" s="2"/>
      <c r="E8" s="6"/>
      <c r="F8" s="134"/>
      <c r="G8" s="2"/>
      <c r="H8" s="8"/>
      <c r="I8" s="134"/>
      <c r="J8" s="4"/>
      <c r="K8" s="6"/>
      <c r="L8" s="134"/>
      <c r="M8" s="2"/>
      <c r="N8" s="7"/>
      <c r="O8" s="135"/>
      <c r="P8" s="4"/>
      <c r="Q8" s="6"/>
      <c r="R8" s="134"/>
      <c r="S8" s="2"/>
      <c r="T8" s="138">
        <f t="shared" si="0"/>
        <v>0</v>
      </c>
    </row>
    <row r="9" spans="1:20" ht="16" thickBot="1" x14ac:dyDescent="0.25">
      <c r="A9" s="14">
        <v>46087</v>
      </c>
      <c r="B9" s="6"/>
      <c r="C9" s="134"/>
      <c r="D9" s="2"/>
      <c r="E9" s="6"/>
      <c r="F9" s="134"/>
      <c r="G9" s="2"/>
      <c r="H9" s="8"/>
      <c r="I9" s="134"/>
      <c r="J9" s="4"/>
      <c r="K9" s="6"/>
      <c r="L9" s="134"/>
      <c r="M9" s="2"/>
      <c r="N9" s="7"/>
      <c r="O9" s="135"/>
      <c r="P9" s="4"/>
      <c r="Q9" s="6"/>
      <c r="R9" s="134"/>
      <c r="S9" s="2"/>
      <c r="T9" s="138">
        <f t="shared" si="0"/>
        <v>0</v>
      </c>
    </row>
    <row r="10" spans="1:20" ht="16" thickBot="1" x14ac:dyDescent="0.25">
      <c r="A10" s="14">
        <v>46088</v>
      </c>
      <c r="B10" s="6"/>
      <c r="C10" s="134"/>
      <c r="D10" s="2"/>
      <c r="E10" s="6"/>
      <c r="F10" s="134"/>
      <c r="G10" s="2"/>
      <c r="H10" s="8"/>
      <c r="I10" s="134"/>
      <c r="J10" s="4"/>
      <c r="K10" s="6"/>
      <c r="L10" s="134"/>
      <c r="M10" s="2"/>
      <c r="N10" s="7"/>
      <c r="O10" s="135"/>
      <c r="P10" s="4"/>
      <c r="Q10" s="6"/>
      <c r="R10" s="134"/>
      <c r="S10" s="2"/>
      <c r="T10" s="138">
        <f t="shared" si="0"/>
        <v>0</v>
      </c>
    </row>
    <row r="11" spans="1:20" ht="16" thickBot="1" x14ac:dyDescent="0.25">
      <c r="A11" s="14">
        <v>46089</v>
      </c>
      <c r="B11" s="6"/>
      <c r="C11" s="134"/>
      <c r="D11" s="2"/>
      <c r="E11" s="6"/>
      <c r="F11" s="134"/>
      <c r="G11" s="2"/>
      <c r="H11" s="8"/>
      <c r="I11" s="134"/>
      <c r="J11" s="4"/>
      <c r="K11" s="6"/>
      <c r="L11" s="134"/>
      <c r="M11" s="2"/>
      <c r="N11" s="8"/>
      <c r="O11" s="134"/>
      <c r="P11" s="4"/>
      <c r="Q11" s="6"/>
      <c r="R11" s="134"/>
      <c r="S11" s="2"/>
      <c r="T11" s="138">
        <f t="shared" si="0"/>
        <v>0</v>
      </c>
    </row>
    <row r="12" spans="1:20" ht="16" thickBot="1" x14ac:dyDescent="0.25">
      <c r="A12" s="14">
        <v>46090</v>
      </c>
      <c r="B12" s="6"/>
      <c r="C12" s="134"/>
      <c r="D12" s="2"/>
      <c r="E12" s="6"/>
      <c r="F12" s="134"/>
      <c r="G12" s="2"/>
      <c r="H12" s="8"/>
      <c r="I12" s="134"/>
      <c r="J12" s="4"/>
      <c r="K12" s="6"/>
      <c r="L12" s="134"/>
      <c r="M12" s="2"/>
      <c r="N12" s="8"/>
      <c r="O12" s="134"/>
      <c r="P12" s="4"/>
      <c r="Q12" s="6"/>
      <c r="R12" s="134"/>
      <c r="S12" s="2"/>
      <c r="T12" s="138">
        <f t="shared" si="0"/>
        <v>0</v>
      </c>
    </row>
    <row r="13" spans="1:20" ht="16" thickBot="1" x14ac:dyDescent="0.25">
      <c r="A13" s="14">
        <v>46091</v>
      </c>
      <c r="B13" s="6"/>
      <c r="C13" s="134"/>
      <c r="D13" s="2"/>
      <c r="E13" s="6"/>
      <c r="F13" s="134"/>
      <c r="G13" s="2"/>
      <c r="H13" s="8"/>
      <c r="I13" s="134"/>
      <c r="J13" s="4"/>
      <c r="K13" s="6"/>
      <c r="L13" s="134"/>
      <c r="M13" s="2"/>
      <c r="N13" s="8"/>
      <c r="O13" s="134"/>
      <c r="P13" s="4"/>
      <c r="Q13" s="6"/>
      <c r="R13" s="134"/>
      <c r="S13" s="2"/>
      <c r="T13" s="138">
        <f t="shared" si="0"/>
        <v>0</v>
      </c>
    </row>
    <row r="14" spans="1:20" ht="16" thickBot="1" x14ac:dyDescent="0.25">
      <c r="A14" s="14">
        <v>46092</v>
      </c>
      <c r="B14" s="6"/>
      <c r="C14" s="134"/>
      <c r="D14" s="2"/>
      <c r="E14" s="6"/>
      <c r="F14" s="134"/>
      <c r="G14" s="2"/>
      <c r="H14" s="8"/>
      <c r="I14" s="134"/>
      <c r="J14" s="4"/>
      <c r="K14" s="6"/>
      <c r="L14" s="134"/>
      <c r="M14" s="2"/>
      <c r="N14" s="8"/>
      <c r="O14" s="134"/>
      <c r="P14" s="4"/>
      <c r="Q14" s="6"/>
      <c r="R14" s="134"/>
      <c r="S14" s="2"/>
      <c r="T14" s="138">
        <f t="shared" si="0"/>
        <v>0</v>
      </c>
    </row>
    <row r="15" spans="1:20" ht="16" thickBot="1" x14ac:dyDescent="0.25">
      <c r="A15" s="14">
        <v>46093</v>
      </c>
      <c r="B15" s="6"/>
      <c r="C15" s="134"/>
      <c r="D15" s="2"/>
      <c r="E15" s="6"/>
      <c r="F15" s="134"/>
      <c r="G15" s="2"/>
      <c r="H15" s="8"/>
      <c r="I15" s="134"/>
      <c r="J15" s="4"/>
      <c r="K15" s="6"/>
      <c r="L15" s="134"/>
      <c r="M15" s="2"/>
      <c r="N15" s="8"/>
      <c r="O15" s="134"/>
      <c r="P15" s="4"/>
      <c r="Q15" s="6"/>
      <c r="R15" s="134"/>
      <c r="S15" s="2"/>
      <c r="T15" s="138">
        <f t="shared" si="0"/>
        <v>0</v>
      </c>
    </row>
    <row r="16" spans="1:20" ht="16" thickBot="1" x14ac:dyDescent="0.25">
      <c r="A16" s="14">
        <v>46094</v>
      </c>
      <c r="B16" s="6"/>
      <c r="C16" s="134"/>
      <c r="D16" s="2"/>
      <c r="E16" s="6"/>
      <c r="F16" s="134"/>
      <c r="G16" s="2"/>
      <c r="H16" s="8"/>
      <c r="I16" s="134"/>
      <c r="J16" s="4"/>
      <c r="K16" s="6"/>
      <c r="L16" s="134"/>
      <c r="M16" s="2"/>
      <c r="N16" s="8"/>
      <c r="O16" s="134"/>
      <c r="P16" s="4"/>
      <c r="Q16" s="6"/>
      <c r="R16" s="134"/>
      <c r="S16" s="2"/>
      <c r="T16" s="138">
        <f t="shared" si="0"/>
        <v>0</v>
      </c>
    </row>
    <row r="17" spans="1:20" ht="16" thickBot="1" x14ac:dyDescent="0.25">
      <c r="A17" s="14">
        <v>46095</v>
      </c>
      <c r="B17" s="6"/>
      <c r="C17" s="134"/>
      <c r="D17" s="2"/>
      <c r="E17" s="6"/>
      <c r="F17" s="134"/>
      <c r="G17" s="2"/>
      <c r="H17" s="8"/>
      <c r="I17" s="134"/>
      <c r="J17" s="4"/>
      <c r="K17" s="6"/>
      <c r="L17" s="134"/>
      <c r="M17" s="2"/>
      <c r="N17" s="8"/>
      <c r="O17" s="134"/>
      <c r="P17" s="4"/>
      <c r="Q17" s="6"/>
      <c r="R17" s="134"/>
      <c r="S17" s="2"/>
      <c r="T17" s="138">
        <f t="shared" si="0"/>
        <v>0</v>
      </c>
    </row>
    <row r="18" spans="1:20" ht="16" thickBot="1" x14ac:dyDescent="0.25">
      <c r="A18" s="14">
        <v>46096</v>
      </c>
      <c r="B18" s="6"/>
      <c r="C18" s="134"/>
      <c r="D18" s="2"/>
      <c r="E18" s="6"/>
      <c r="F18" s="134"/>
      <c r="G18" s="2"/>
      <c r="H18" s="8"/>
      <c r="I18" s="134"/>
      <c r="J18" s="4"/>
      <c r="K18" s="6"/>
      <c r="L18" s="134"/>
      <c r="M18" s="2"/>
      <c r="N18" s="8"/>
      <c r="O18" s="134"/>
      <c r="P18" s="4"/>
      <c r="Q18" s="6"/>
      <c r="R18" s="134"/>
      <c r="S18" s="2"/>
      <c r="T18" s="138">
        <f t="shared" si="0"/>
        <v>0</v>
      </c>
    </row>
    <row r="19" spans="1:20" ht="16" thickBot="1" x14ac:dyDescent="0.25">
      <c r="A19" s="14">
        <v>46097</v>
      </c>
      <c r="B19" s="6"/>
      <c r="C19" s="134"/>
      <c r="D19" s="2"/>
      <c r="E19" s="6"/>
      <c r="F19" s="134"/>
      <c r="G19" s="2"/>
      <c r="H19" s="8"/>
      <c r="I19" s="134"/>
      <c r="J19" s="4"/>
      <c r="K19" s="6"/>
      <c r="L19" s="134"/>
      <c r="M19" s="2"/>
      <c r="N19" s="8"/>
      <c r="O19" s="134"/>
      <c r="P19" s="4"/>
      <c r="Q19" s="6"/>
      <c r="R19" s="134"/>
      <c r="S19" s="2"/>
      <c r="T19" s="138">
        <f t="shared" si="0"/>
        <v>0</v>
      </c>
    </row>
    <row r="20" spans="1:20" ht="16" thickBot="1" x14ac:dyDescent="0.25">
      <c r="A20" s="14">
        <v>46098</v>
      </c>
      <c r="B20" s="6"/>
      <c r="C20" s="134"/>
      <c r="D20" s="2"/>
      <c r="E20" s="6"/>
      <c r="F20" s="134"/>
      <c r="G20" s="2"/>
      <c r="H20" s="8"/>
      <c r="I20" s="134"/>
      <c r="J20" s="4"/>
      <c r="K20" s="6"/>
      <c r="L20" s="134"/>
      <c r="M20" s="2"/>
      <c r="N20" s="8"/>
      <c r="O20" s="134"/>
      <c r="P20" s="4"/>
      <c r="Q20" s="6"/>
      <c r="R20" s="134"/>
      <c r="S20" s="2"/>
      <c r="T20" s="138">
        <f t="shared" si="0"/>
        <v>0</v>
      </c>
    </row>
    <row r="21" spans="1:20" ht="16" thickBot="1" x14ac:dyDescent="0.25">
      <c r="A21" s="14">
        <v>46099</v>
      </c>
      <c r="B21" s="6"/>
      <c r="C21" s="134"/>
      <c r="D21" s="2"/>
      <c r="E21" s="6"/>
      <c r="F21" s="134"/>
      <c r="G21" s="2"/>
      <c r="H21" s="8"/>
      <c r="I21" s="134"/>
      <c r="J21" s="4"/>
      <c r="K21" s="6"/>
      <c r="L21" s="134"/>
      <c r="M21" s="2"/>
      <c r="N21" s="8"/>
      <c r="O21" s="134"/>
      <c r="P21" s="4"/>
      <c r="Q21" s="6"/>
      <c r="R21" s="134"/>
      <c r="S21" s="2"/>
      <c r="T21" s="138">
        <f t="shared" si="0"/>
        <v>0</v>
      </c>
    </row>
    <row r="22" spans="1:20" ht="16" thickBot="1" x14ac:dyDescent="0.25">
      <c r="A22" s="14">
        <v>46100</v>
      </c>
      <c r="B22" s="6"/>
      <c r="C22" s="134"/>
      <c r="D22" s="2"/>
      <c r="E22" s="6"/>
      <c r="F22" s="134"/>
      <c r="G22" s="2"/>
      <c r="H22" s="8"/>
      <c r="I22" s="134"/>
      <c r="J22" s="4"/>
      <c r="K22" s="6"/>
      <c r="L22" s="134"/>
      <c r="M22" s="2"/>
      <c r="N22" s="8"/>
      <c r="O22" s="134"/>
      <c r="P22" s="4"/>
      <c r="Q22" s="6"/>
      <c r="R22" s="134"/>
      <c r="S22" s="2"/>
      <c r="T22" s="138">
        <f t="shared" si="0"/>
        <v>0</v>
      </c>
    </row>
    <row r="23" spans="1:20" ht="16" thickBot="1" x14ac:dyDescent="0.25">
      <c r="A23" s="14">
        <v>46101</v>
      </c>
      <c r="B23" s="6"/>
      <c r="C23" s="134"/>
      <c r="D23" s="2"/>
      <c r="E23" s="6"/>
      <c r="F23" s="134"/>
      <c r="G23" s="2"/>
      <c r="H23" s="8"/>
      <c r="I23" s="134"/>
      <c r="J23" s="4"/>
      <c r="K23" s="6"/>
      <c r="L23" s="134"/>
      <c r="M23" s="2"/>
      <c r="N23" s="8"/>
      <c r="O23" s="134"/>
      <c r="P23" s="4"/>
      <c r="Q23" s="6"/>
      <c r="R23" s="134"/>
      <c r="S23" s="2"/>
      <c r="T23" s="138">
        <f t="shared" si="0"/>
        <v>0</v>
      </c>
    </row>
    <row r="24" spans="1:20" ht="16" thickBot="1" x14ac:dyDescent="0.25">
      <c r="A24" s="14">
        <v>46102</v>
      </c>
      <c r="B24" s="6"/>
      <c r="C24" s="134"/>
      <c r="D24" s="2"/>
      <c r="E24" s="6"/>
      <c r="F24" s="134"/>
      <c r="G24" s="2"/>
      <c r="H24" s="8"/>
      <c r="I24" s="134"/>
      <c r="J24" s="4"/>
      <c r="K24" s="6"/>
      <c r="L24" s="134"/>
      <c r="M24" s="2"/>
      <c r="N24" s="8"/>
      <c r="O24" s="134"/>
      <c r="P24" s="4"/>
      <c r="Q24" s="6"/>
      <c r="R24" s="134"/>
      <c r="S24" s="2"/>
      <c r="T24" s="138">
        <f t="shared" si="0"/>
        <v>0</v>
      </c>
    </row>
    <row r="25" spans="1:20" ht="16" thickBot="1" x14ac:dyDescent="0.25">
      <c r="A25" s="14">
        <v>46103</v>
      </c>
      <c r="B25" s="6"/>
      <c r="C25" s="134"/>
      <c r="D25" s="2"/>
      <c r="E25" s="6"/>
      <c r="F25" s="134"/>
      <c r="G25" s="2"/>
      <c r="H25" s="8"/>
      <c r="I25" s="134"/>
      <c r="J25" s="4"/>
      <c r="K25" s="6"/>
      <c r="L25" s="134"/>
      <c r="M25" s="2"/>
      <c r="N25" s="8"/>
      <c r="O25" s="134"/>
      <c r="P25" s="4"/>
      <c r="Q25" s="6"/>
      <c r="R25" s="134"/>
      <c r="S25" s="2"/>
      <c r="T25" s="138">
        <f t="shared" si="0"/>
        <v>0</v>
      </c>
    </row>
    <row r="26" spans="1:20" ht="16" thickBot="1" x14ac:dyDescent="0.25">
      <c r="A26" s="14">
        <v>46104</v>
      </c>
      <c r="B26" s="6"/>
      <c r="C26" s="134"/>
      <c r="D26" s="2"/>
      <c r="E26" s="6"/>
      <c r="F26" s="134"/>
      <c r="G26" s="2"/>
      <c r="H26" s="8"/>
      <c r="I26" s="134"/>
      <c r="J26" s="4"/>
      <c r="K26" s="6"/>
      <c r="L26" s="134"/>
      <c r="M26" s="2"/>
      <c r="N26" s="8"/>
      <c r="O26" s="134"/>
      <c r="P26" s="4"/>
      <c r="Q26" s="6"/>
      <c r="R26" s="134"/>
      <c r="S26" s="2"/>
      <c r="T26" s="138">
        <f t="shared" si="0"/>
        <v>0</v>
      </c>
    </row>
    <row r="27" spans="1:20" ht="16" thickBot="1" x14ac:dyDescent="0.25">
      <c r="A27" s="14">
        <v>46105</v>
      </c>
      <c r="B27" s="6"/>
      <c r="C27" s="134"/>
      <c r="D27" s="2"/>
      <c r="E27" s="6"/>
      <c r="F27" s="134"/>
      <c r="G27" s="2"/>
      <c r="H27" s="8"/>
      <c r="I27" s="134"/>
      <c r="J27" s="4"/>
      <c r="K27" s="6"/>
      <c r="L27" s="134"/>
      <c r="M27" s="2"/>
      <c r="N27" s="8"/>
      <c r="O27" s="134"/>
      <c r="P27" s="4"/>
      <c r="Q27" s="6"/>
      <c r="R27" s="134"/>
      <c r="S27" s="2"/>
      <c r="T27" s="138">
        <f t="shared" si="0"/>
        <v>0</v>
      </c>
    </row>
    <row r="28" spans="1:20" ht="16" thickBot="1" x14ac:dyDescent="0.25">
      <c r="A28" s="14">
        <v>46106</v>
      </c>
      <c r="B28" s="6"/>
      <c r="C28" s="134"/>
      <c r="D28" s="2"/>
      <c r="E28" s="6"/>
      <c r="F28" s="134"/>
      <c r="G28" s="2"/>
      <c r="H28" s="8"/>
      <c r="I28" s="134"/>
      <c r="J28" s="4"/>
      <c r="K28" s="6"/>
      <c r="L28" s="134"/>
      <c r="M28" s="2"/>
      <c r="N28" s="8"/>
      <c r="O28" s="134"/>
      <c r="P28" s="4"/>
      <c r="Q28" s="6"/>
      <c r="R28" s="134"/>
      <c r="S28" s="2"/>
      <c r="T28" s="138">
        <f t="shared" si="0"/>
        <v>0</v>
      </c>
    </row>
    <row r="29" spans="1:20" ht="16" thickBot="1" x14ac:dyDescent="0.25">
      <c r="A29" s="14">
        <v>46107</v>
      </c>
      <c r="B29" s="6"/>
      <c r="C29" s="134"/>
      <c r="D29" s="2"/>
      <c r="E29" s="6"/>
      <c r="F29" s="134"/>
      <c r="G29" s="2"/>
      <c r="H29" s="8"/>
      <c r="I29" s="134"/>
      <c r="J29" s="4"/>
      <c r="K29" s="6"/>
      <c r="L29" s="134"/>
      <c r="M29" s="2"/>
      <c r="N29" s="8"/>
      <c r="O29" s="134"/>
      <c r="P29" s="4"/>
      <c r="Q29" s="6"/>
      <c r="R29" s="134"/>
      <c r="S29" s="2"/>
      <c r="T29" s="138">
        <f t="shared" si="0"/>
        <v>0</v>
      </c>
    </row>
    <row r="30" spans="1:20" ht="16" thickBot="1" x14ac:dyDescent="0.25">
      <c r="A30" s="14">
        <v>46108</v>
      </c>
      <c r="B30" s="6"/>
      <c r="C30" s="134"/>
      <c r="D30" s="2"/>
      <c r="E30" s="6"/>
      <c r="F30" s="134"/>
      <c r="G30" s="2"/>
      <c r="H30" s="8"/>
      <c r="I30" s="134"/>
      <c r="J30" s="4"/>
      <c r="K30" s="6"/>
      <c r="L30" s="134"/>
      <c r="M30" s="2"/>
      <c r="N30" s="8"/>
      <c r="O30" s="134"/>
      <c r="P30" s="4"/>
      <c r="Q30" s="6"/>
      <c r="R30" s="134"/>
      <c r="S30" s="2"/>
      <c r="T30" s="138">
        <f t="shared" si="0"/>
        <v>0</v>
      </c>
    </row>
    <row r="31" spans="1:20" ht="16" thickBot="1" x14ac:dyDescent="0.25">
      <c r="A31" s="14">
        <v>46109</v>
      </c>
      <c r="B31" s="6"/>
      <c r="C31" s="134"/>
      <c r="D31" s="2"/>
      <c r="E31" s="6"/>
      <c r="F31" s="134"/>
      <c r="G31" s="2"/>
      <c r="H31" s="8"/>
      <c r="I31" s="134"/>
      <c r="J31" s="4"/>
      <c r="K31" s="6"/>
      <c r="L31" s="134"/>
      <c r="M31" s="2"/>
      <c r="N31" s="8"/>
      <c r="O31" s="134"/>
      <c r="P31" s="4"/>
      <c r="Q31" s="6"/>
      <c r="R31" s="134"/>
      <c r="S31" s="2"/>
      <c r="T31" s="138">
        <f t="shared" si="0"/>
        <v>0</v>
      </c>
    </row>
    <row r="32" spans="1:20" ht="16" thickBot="1" x14ac:dyDescent="0.25">
      <c r="A32" s="14">
        <v>46110</v>
      </c>
      <c r="B32" s="6"/>
      <c r="C32" s="134"/>
      <c r="D32" s="2"/>
      <c r="E32" s="6"/>
      <c r="F32" s="134"/>
      <c r="G32" s="2"/>
      <c r="H32" s="8"/>
      <c r="I32" s="134"/>
      <c r="J32" s="4"/>
      <c r="K32" s="6"/>
      <c r="L32" s="134"/>
      <c r="M32" s="2"/>
      <c r="N32" s="8"/>
      <c r="O32" s="134"/>
      <c r="P32" s="4"/>
      <c r="Q32" s="6"/>
      <c r="R32" s="134"/>
      <c r="S32" s="2"/>
      <c r="T32" s="138">
        <f t="shared" si="0"/>
        <v>0</v>
      </c>
    </row>
    <row r="33" spans="1:20" ht="16" thickBot="1" x14ac:dyDescent="0.25">
      <c r="A33" s="14">
        <v>46111</v>
      </c>
      <c r="B33" s="6"/>
      <c r="C33" s="134"/>
      <c r="D33" s="2"/>
      <c r="E33" s="6"/>
      <c r="F33" s="134"/>
      <c r="G33" s="2"/>
      <c r="H33" s="8"/>
      <c r="I33" s="134"/>
      <c r="J33" s="4"/>
      <c r="K33" s="6"/>
      <c r="L33" s="134"/>
      <c r="M33" s="2"/>
      <c r="N33" s="8"/>
      <c r="O33" s="134"/>
      <c r="P33" s="4"/>
      <c r="Q33" s="6"/>
      <c r="R33" s="134"/>
      <c r="S33" s="2"/>
      <c r="T33" s="138">
        <f t="shared" si="0"/>
        <v>0</v>
      </c>
    </row>
    <row r="34" spans="1:20" ht="16" thickBot="1" x14ac:dyDescent="0.25">
      <c r="A34" s="14">
        <v>46112</v>
      </c>
      <c r="B34" s="9"/>
      <c r="C34" s="169"/>
      <c r="D34" s="10"/>
      <c r="E34" s="9"/>
      <c r="F34" s="169"/>
      <c r="G34" s="10"/>
      <c r="H34" s="11"/>
      <c r="I34" s="134"/>
      <c r="J34" s="12"/>
      <c r="K34" s="9"/>
      <c r="L34" s="169"/>
      <c r="M34" s="10"/>
      <c r="N34" s="8"/>
      <c r="O34" s="134"/>
      <c r="P34" s="4"/>
      <c r="Q34" s="9"/>
      <c r="R34" s="169"/>
      <c r="S34" s="10"/>
      <c r="T34" s="138">
        <f t="shared" si="0"/>
        <v>0</v>
      </c>
    </row>
    <row r="35" spans="1:20" ht="16" thickBot="1" x14ac:dyDescent="0.25">
      <c r="A35" s="41" t="s">
        <v>51</v>
      </c>
      <c r="B35" s="255">
        <f>SUM(C4:C34)</f>
        <v>0</v>
      </c>
      <c r="C35" s="256"/>
      <c r="D35" s="257"/>
      <c r="E35" s="255">
        <f>SUM(F4:F34)</f>
        <v>0</v>
      </c>
      <c r="F35" s="256"/>
      <c r="G35" s="257"/>
      <c r="H35" s="255">
        <f>SUM(I4:I34)</f>
        <v>0</v>
      </c>
      <c r="I35" s="256"/>
      <c r="J35" s="257"/>
      <c r="K35" s="255">
        <f>SUM(L4:L34)</f>
        <v>0</v>
      </c>
      <c r="L35" s="256"/>
      <c r="M35" s="257"/>
      <c r="N35" s="255">
        <f>SUM(O4:O34)</f>
        <v>0</v>
      </c>
      <c r="O35" s="256"/>
      <c r="P35" s="257"/>
      <c r="Q35" s="255">
        <f>SUM(R4:R34)</f>
        <v>0</v>
      </c>
      <c r="R35" s="256"/>
      <c r="S35" s="257"/>
      <c r="T35" s="238">
        <f>SUM(T4:T34)</f>
        <v>0</v>
      </c>
    </row>
    <row r="36" spans="1:20" ht="17" thickBot="1" x14ac:dyDescent="0.25">
      <c r="B36" s="253" t="s">
        <v>11</v>
      </c>
      <c r="C36" s="254"/>
      <c r="D36" s="254"/>
      <c r="E36" s="254"/>
      <c r="F36" s="254"/>
      <c r="G36" s="254"/>
      <c r="H36" s="254"/>
      <c r="I36" s="254"/>
      <c r="J36" s="254"/>
      <c r="K36" s="254"/>
      <c r="L36" s="254"/>
      <c r="M36" s="254"/>
      <c r="N36" s="254"/>
      <c r="O36" s="254"/>
      <c r="P36" s="254"/>
      <c r="Q36" s="254"/>
      <c r="R36" s="254"/>
      <c r="S36" s="254"/>
      <c r="T36" s="239"/>
    </row>
  </sheetData>
  <mergeCells count="17">
    <mergeCell ref="A1:A3"/>
    <mergeCell ref="B2:D2"/>
    <mergeCell ref="E2:G2"/>
    <mergeCell ref="H2:J2"/>
    <mergeCell ref="K2:M2"/>
    <mergeCell ref="B1:S1"/>
    <mergeCell ref="Q35:S35"/>
    <mergeCell ref="T35:T36"/>
    <mergeCell ref="B36:S36"/>
    <mergeCell ref="T2:T3"/>
    <mergeCell ref="N2:P2"/>
    <mergeCell ref="Q2:S2"/>
    <mergeCell ref="B35:D35"/>
    <mergeCell ref="E35:G35"/>
    <mergeCell ref="H35:J35"/>
    <mergeCell ref="K35:M35"/>
    <mergeCell ref="N35:P35"/>
  </mergeCells>
  <dataValidations count="1">
    <dataValidation type="list" allowBlank="1" showInputMessage="1" showErrorMessage="1" sqref="S4:S34 M4:M34 G4:G34 D4:D34 J4:J34 P4:P34" xr:uid="{7BF78742-6841-4164-B6F5-7E8A10F45A04}">
      <formula1>"Booking,Airbnb,Cash,Bank transfer"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A4F0C61-14F9-DD42-A781-7ADC33D86E92}">
            <x14:iconSet custom="1">
              <x14:cfvo type="percent">
                <xm:f>0</xm:f>
              </x14:cfvo>
              <x14:cfvo type="num">
                <xm:f>17000</xm:f>
              </x14:cfvo>
              <x14:cfvo type="num" gte="0">
                <xm:f>17000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B35 H35 N35</xm:sqref>
        </x14:conditionalFormatting>
        <x14:conditionalFormatting xmlns:xm="http://schemas.microsoft.com/office/excel/2006/main">
          <x14:cfRule type="iconSet" priority="2" id="{F05E8B16-B098-6E47-A1C0-33E5BBA2177A}">
            <x14:iconSet custom="1">
              <x14:cfvo type="percent">
                <xm:f>0</xm:f>
              </x14:cfvo>
              <x14:cfvo type="num">
                <xm:f>14000</xm:f>
              </x14:cfvo>
              <x14:cfvo type="num" gte="0">
                <xm:f>14000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E35 K35 Q35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239D7-88A4-471B-936F-A07C89F4295A}">
  <sheetPr codeName="Feuil5"/>
  <dimension ref="A1:T35"/>
  <sheetViews>
    <sheetView showGridLines="0" zoomScale="75" zoomScaleNormal="90" workbookViewId="0">
      <selection activeCell="B4" sqref="B4"/>
    </sheetView>
  </sheetViews>
  <sheetFormatPr baseColWidth="10" defaultColWidth="10.83203125" defaultRowHeight="15" x14ac:dyDescent="0.2"/>
  <cols>
    <col min="2" max="2" width="15.6640625" customWidth="1"/>
    <col min="3" max="3" width="13.1640625" bestFit="1" customWidth="1"/>
    <col min="5" max="5" width="15.6640625" customWidth="1"/>
    <col min="6" max="6" width="13.1640625" bestFit="1" customWidth="1"/>
    <col min="8" max="8" width="17.6640625" bestFit="1" customWidth="1"/>
    <col min="9" max="9" width="13.33203125" bestFit="1" customWidth="1"/>
    <col min="11" max="11" width="15.6640625" customWidth="1"/>
    <col min="12" max="12" width="13.5" bestFit="1" customWidth="1"/>
    <col min="13" max="13" width="11.83203125" bestFit="1" customWidth="1"/>
    <col min="14" max="14" width="19.6640625" bestFit="1" customWidth="1"/>
    <col min="15" max="15" width="13.5" bestFit="1" customWidth="1"/>
    <col min="17" max="17" width="15.6640625" customWidth="1"/>
    <col min="18" max="18" width="13.5" bestFit="1" customWidth="1"/>
    <col min="20" max="20" width="15.6640625" customWidth="1"/>
  </cols>
  <sheetData>
    <row r="1" spans="1:20" s="15" customFormat="1" ht="30" thickBot="1" x14ac:dyDescent="0.4">
      <c r="A1" s="250" t="s">
        <v>0</v>
      </c>
      <c r="B1" s="248" t="s">
        <v>9</v>
      </c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/>
    </row>
    <row r="2" spans="1:20" ht="18.5" customHeight="1" x14ac:dyDescent="0.2">
      <c r="A2" s="251"/>
      <c r="B2" s="245" t="s">
        <v>4</v>
      </c>
      <c r="C2" s="246"/>
      <c r="D2" s="247"/>
      <c r="E2" s="245" t="s">
        <v>5</v>
      </c>
      <c r="F2" s="246"/>
      <c r="G2" s="247"/>
      <c r="H2" s="245" t="s">
        <v>6</v>
      </c>
      <c r="I2" s="246"/>
      <c r="J2" s="247"/>
      <c r="K2" s="245" t="s">
        <v>7</v>
      </c>
      <c r="L2" s="246"/>
      <c r="M2" s="247"/>
      <c r="N2" s="245" t="s">
        <v>8</v>
      </c>
      <c r="O2" s="246"/>
      <c r="P2" s="247"/>
      <c r="Q2" s="245" t="s">
        <v>105</v>
      </c>
      <c r="R2" s="246"/>
      <c r="S2" s="247"/>
      <c r="T2" s="240" t="s">
        <v>10</v>
      </c>
    </row>
    <row r="3" spans="1:20" ht="19" customHeight="1" thickBot="1" x14ac:dyDescent="0.25">
      <c r="A3" s="252"/>
      <c r="B3" s="16" t="s">
        <v>1</v>
      </c>
      <c r="C3" s="17" t="s">
        <v>2</v>
      </c>
      <c r="D3" s="18" t="s">
        <v>3</v>
      </c>
      <c r="E3" s="16" t="s">
        <v>1</v>
      </c>
      <c r="F3" s="17" t="s">
        <v>2</v>
      </c>
      <c r="G3" s="18" t="s">
        <v>3</v>
      </c>
      <c r="H3" s="16" t="s">
        <v>1</v>
      </c>
      <c r="I3" s="17" t="s">
        <v>2</v>
      </c>
      <c r="J3" s="18" t="s">
        <v>3</v>
      </c>
      <c r="K3" s="16" t="s">
        <v>1</v>
      </c>
      <c r="L3" s="17" t="s">
        <v>2</v>
      </c>
      <c r="M3" s="18" t="s">
        <v>3</v>
      </c>
      <c r="N3" s="16" t="s">
        <v>1</v>
      </c>
      <c r="O3" s="17" t="s">
        <v>2</v>
      </c>
      <c r="P3" s="18" t="s">
        <v>3</v>
      </c>
      <c r="Q3" s="16" t="s">
        <v>1</v>
      </c>
      <c r="R3" s="17" t="s">
        <v>2</v>
      </c>
      <c r="S3" s="18" t="s">
        <v>3</v>
      </c>
      <c r="T3" s="241"/>
    </row>
    <row r="4" spans="1:20" ht="16" thickBot="1" x14ac:dyDescent="0.25">
      <c r="A4" s="14">
        <v>46113</v>
      </c>
      <c r="B4" s="5"/>
      <c r="C4" s="168"/>
      <c r="D4" s="1"/>
      <c r="E4" s="5"/>
      <c r="F4" s="168"/>
      <c r="G4" s="2"/>
      <c r="H4" s="7"/>
      <c r="I4" s="135"/>
      <c r="J4" s="3"/>
      <c r="K4" s="5"/>
      <c r="L4" s="168"/>
      <c r="M4" s="1"/>
      <c r="N4" s="7"/>
      <c r="O4" s="135"/>
      <c r="P4" s="3"/>
      <c r="Q4" s="5"/>
      <c r="R4" s="168"/>
      <c r="S4" s="1"/>
      <c r="T4" s="138">
        <f>C4+F4+I4+L4+O4+R4</f>
        <v>0</v>
      </c>
    </row>
    <row r="5" spans="1:20" ht="16" thickBot="1" x14ac:dyDescent="0.25">
      <c r="A5" s="14">
        <v>46114</v>
      </c>
      <c r="B5" s="6"/>
      <c r="C5" s="134"/>
      <c r="D5" s="2"/>
      <c r="E5" s="6"/>
      <c r="F5" s="134"/>
      <c r="G5" s="2"/>
      <c r="H5" s="8"/>
      <c r="I5" s="134"/>
      <c r="J5" s="4"/>
      <c r="K5" s="6"/>
      <c r="L5" s="134"/>
      <c r="M5" s="2"/>
      <c r="N5" s="8"/>
      <c r="O5" s="134"/>
      <c r="P5" s="4"/>
      <c r="Q5" s="6"/>
      <c r="R5" s="134"/>
      <c r="S5" s="2"/>
      <c r="T5" s="138">
        <f t="shared" ref="T5:T33" si="0">C5+F5+I5+L5+O5+R5</f>
        <v>0</v>
      </c>
    </row>
    <row r="6" spans="1:20" ht="16" thickBot="1" x14ac:dyDescent="0.25">
      <c r="A6" s="14">
        <v>46115</v>
      </c>
      <c r="B6" s="6"/>
      <c r="C6" s="134"/>
      <c r="D6" s="2"/>
      <c r="E6" s="6"/>
      <c r="F6" s="134"/>
      <c r="G6" s="2"/>
      <c r="H6" s="8"/>
      <c r="I6" s="134"/>
      <c r="J6" s="4"/>
      <c r="K6" s="6"/>
      <c r="L6" s="134"/>
      <c r="M6" s="2"/>
      <c r="N6" s="8"/>
      <c r="O6" s="134"/>
      <c r="P6" s="4"/>
      <c r="Q6" s="6"/>
      <c r="R6" s="134"/>
      <c r="S6" s="2"/>
      <c r="T6" s="138">
        <f t="shared" si="0"/>
        <v>0</v>
      </c>
    </row>
    <row r="7" spans="1:20" ht="16" thickBot="1" x14ac:dyDescent="0.25">
      <c r="A7" s="14">
        <v>46116</v>
      </c>
      <c r="B7" s="6"/>
      <c r="C7" s="134"/>
      <c r="D7" s="2"/>
      <c r="E7" s="6"/>
      <c r="F7" s="134"/>
      <c r="G7" s="2"/>
      <c r="H7" s="8"/>
      <c r="I7" s="134"/>
      <c r="J7" s="4"/>
      <c r="K7" s="6"/>
      <c r="L7" s="134"/>
      <c r="M7" s="2"/>
      <c r="N7" s="8"/>
      <c r="O7" s="134"/>
      <c r="P7" s="4"/>
      <c r="Q7" s="6"/>
      <c r="R7" s="134"/>
      <c r="S7" s="2"/>
      <c r="T7" s="138">
        <f t="shared" si="0"/>
        <v>0</v>
      </c>
    </row>
    <row r="8" spans="1:20" ht="16" thickBot="1" x14ac:dyDescent="0.25">
      <c r="A8" s="14">
        <v>46117</v>
      </c>
      <c r="B8" s="6"/>
      <c r="C8" s="134"/>
      <c r="D8" s="2"/>
      <c r="E8" s="6"/>
      <c r="F8" s="134"/>
      <c r="G8" s="2"/>
      <c r="H8" s="8"/>
      <c r="I8" s="134"/>
      <c r="J8" s="4"/>
      <c r="K8" s="6"/>
      <c r="L8" s="134"/>
      <c r="M8" s="2"/>
      <c r="N8" s="8"/>
      <c r="O8" s="134"/>
      <c r="P8" s="4"/>
      <c r="Q8" s="6"/>
      <c r="R8" s="134"/>
      <c r="S8" s="2"/>
      <c r="T8" s="138">
        <f t="shared" si="0"/>
        <v>0</v>
      </c>
    </row>
    <row r="9" spans="1:20" ht="16" thickBot="1" x14ac:dyDescent="0.25">
      <c r="A9" s="14">
        <v>46118</v>
      </c>
      <c r="B9" s="6"/>
      <c r="C9" s="134"/>
      <c r="D9" s="2"/>
      <c r="E9" s="6"/>
      <c r="F9" s="134"/>
      <c r="G9" s="2"/>
      <c r="H9" s="8"/>
      <c r="I9" s="134"/>
      <c r="J9" s="4"/>
      <c r="K9" s="6"/>
      <c r="L9" s="134"/>
      <c r="M9" s="2"/>
      <c r="N9" s="8"/>
      <c r="O9" s="134"/>
      <c r="P9" s="4"/>
      <c r="Q9" s="6"/>
      <c r="R9" s="134"/>
      <c r="S9" s="2"/>
      <c r="T9" s="138">
        <f t="shared" si="0"/>
        <v>0</v>
      </c>
    </row>
    <row r="10" spans="1:20" ht="16" thickBot="1" x14ac:dyDescent="0.25">
      <c r="A10" s="14">
        <v>46119</v>
      </c>
      <c r="B10" s="6"/>
      <c r="C10" s="134"/>
      <c r="D10" s="2"/>
      <c r="E10" s="6"/>
      <c r="F10" s="134"/>
      <c r="G10" s="2"/>
      <c r="H10" s="8"/>
      <c r="I10" s="134"/>
      <c r="J10" s="4"/>
      <c r="K10" s="6"/>
      <c r="L10" s="134"/>
      <c r="M10" s="2"/>
      <c r="N10" s="8"/>
      <c r="O10" s="134"/>
      <c r="P10" s="4"/>
      <c r="Q10" s="6"/>
      <c r="R10" s="134"/>
      <c r="S10" s="2"/>
      <c r="T10" s="138">
        <f t="shared" si="0"/>
        <v>0</v>
      </c>
    </row>
    <row r="11" spans="1:20" ht="16" thickBot="1" x14ac:dyDescent="0.25">
      <c r="A11" s="14">
        <v>46120</v>
      </c>
      <c r="B11" s="6"/>
      <c r="C11" s="134"/>
      <c r="D11" s="2"/>
      <c r="E11" s="6"/>
      <c r="F11" s="134"/>
      <c r="G11" s="2"/>
      <c r="H11" s="8"/>
      <c r="I11" s="134"/>
      <c r="J11" s="4"/>
      <c r="K11" s="6"/>
      <c r="L11" s="134"/>
      <c r="M11" s="2"/>
      <c r="N11" s="8"/>
      <c r="O11" s="134"/>
      <c r="P11" s="4"/>
      <c r="Q11" s="6"/>
      <c r="R11" s="134"/>
      <c r="S11" s="2"/>
      <c r="T11" s="138">
        <f t="shared" si="0"/>
        <v>0</v>
      </c>
    </row>
    <row r="12" spans="1:20" ht="16" thickBot="1" x14ac:dyDescent="0.25">
      <c r="A12" s="14">
        <v>46121</v>
      </c>
      <c r="B12" s="6"/>
      <c r="C12" s="134"/>
      <c r="D12" s="2"/>
      <c r="E12" s="6"/>
      <c r="F12" s="134"/>
      <c r="G12" s="2"/>
      <c r="H12" s="8"/>
      <c r="I12" s="134"/>
      <c r="J12" s="4"/>
      <c r="K12" s="6"/>
      <c r="L12" s="134"/>
      <c r="M12" s="2"/>
      <c r="N12" s="8"/>
      <c r="O12" s="134"/>
      <c r="P12" s="4"/>
      <c r="Q12" s="6"/>
      <c r="R12" s="134"/>
      <c r="S12" s="2"/>
      <c r="T12" s="138">
        <f t="shared" si="0"/>
        <v>0</v>
      </c>
    </row>
    <row r="13" spans="1:20" ht="16" thickBot="1" x14ac:dyDescent="0.25">
      <c r="A13" s="14">
        <v>46122</v>
      </c>
      <c r="B13" s="6"/>
      <c r="C13" s="134"/>
      <c r="D13" s="2"/>
      <c r="E13" s="6"/>
      <c r="F13" s="134"/>
      <c r="G13" s="2"/>
      <c r="H13" s="8"/>
      <c r="I13" s="134"/>
      <c r="J13" s="4"/>
      <c r="K13" s="6"/>
      <c r="L13" s="134"/>
      <c r="M13" s="2"/>
      <c r="N13" s="8"/>
      <c r="O13" s="134"/>
      <c r="P13" s="4"/>
      <c r="Q13" s="6"/>
      <c r="R13" s="134"/>
      <c r="S13" s="2"/>
      <c r="T13" s="138">
        <f t="shared" si="0"/>
        <v>0</v>
      </c>
    </row>
    <row r="14" spans="1:20" ht="16" thickBot="1" x14ac:dyDescent="0.25">
      <c r="A14" s="14">
        <v>46123</v>
      </c>
      <c r="B14" s="6"/>
      <c r="C14" s="134"/>
      <c r="D14" s="2"/>
      <c r="E14" s="6"/>
      <c r="F14" s="134"/>
      <c r="G14" s="2"/>
      <c r="H14" s="8"/>
      <c r="I14" s="134"/>
      <c r="J14" s="4"/>
      <c r="K14" s="6"/>
      <c r="L14" s="134"/>
      <c r="M14" s="2"/>
      <c r="N14" s="8"/>
      <c r="O14" s="134"/>
      <c r="P14" s="4"/>
      <c r="Q14" s="6"/>
      <c r="R14" s="134"/>
      <c r="S14" s="2"/>
      <c r="T14" s="138">
        <f t="shared" si="0"/>
        <v>0</v>
      </c>
    </row>
    <row r="15" spans="1:20" ht="16" thickBot="1" x14ac:dyDescent="0.25">
      <c r="A15" s="14">
        <v>46124</v>
      </c>
      <c r="B15" s="6"/>
      <c r="C15" s="134"/>
      <c r="D15" s="2"/>
      <c r="E15" s="6"/>
      <c r="F15" s="134"/>
      <c r="G15" s="2"/>
      <c r="H15" s="8"/>
      <c r="I15" s="134"/>
      <c r="J15" s="4"/>
      <c r="K15" s="6"/>
      <c r="L15" s="134"/>
      <c r="M15" s="2"/>
      <c r="N15" s="8"/>
      <c r="O15" s="134"/>
      <c r="P15" s="4"/>
      <c r="Q15" s="6"/>
      <c r="R15" s="134"/>
      <c r="S15" s="2"/>
      <c r="T15" s="138">
        <f t="shared" si="0"/>
        <v>0</v>
      </c>
    </row>
    <row r="16" spans="1:20" ht="16" thickBot="1" x14ac:dyDescent="0.25">
      <c r="A16" s="14">
        <v>46125</v>
      </c>
      <c r="B16" s="6"/>
      <c r="C16" s="134"/>
      <c r="D16" s="2"/>
      <c r="E16" s="6"/>
      <c r="F16" s="134"/>
      <c r="G16" s="2"/>
      <c r="H16" s="8"/>
      <c r="I16" s="134"/>
      <c r="J16" s="4"/>
      <c r="K16" s="6"/>
      <c r="L16" s="134"/>
      <c r="M16" s="2"/>
      <c r="N16" s="8"/>
      <c r="O16" s="134"/>
      <c r="P16" s="4"/>
      <c r="Q16" s="6"/>
      <c r="R16" s="134"/>
      <c r="S16" s="2"/>
      <c r="T16" s="138">
        <f t="shared" si="0"/>
        <v>0</v>
      </c>
    </row>
    <row r="17" spans="1:20" ht="16" thickBot="1" x14ac:dyDescent="0.25">
      <c r="A17" s="14">
        <v>46126</v>
      </c>
      <c r="B17" s="6"/>
      <c r="C17" s="134"/>
      <c r="D17" s="2"/>
      <c r="E17" s="6"/>
      <c r="F17" s="134"/>
      <c r="G17" s="2"/>
      <c r="H17" s="8"/>
      <c r="I17" s="134"/>
      <c r="J17" s="4"/>
      <c r="K17" s="6"/>
      <c r="L17" s="134"/>
      <c r="M17" s="2"/>
      <c r="N17" s="8"/>
      <c r="O17" s="134"/>
      <c r="P17" s="4"/>
      <c r="Q17" s="6"/>
      <c r="R17" s="134"/>
      <c r="S17" s="2"/>
      <c r="T17" s="138">
        <f t="shared" si="0"/>
        <v>0</v>
      </c>
    </row>
    <row r="18" spans="1:20" ht="16" thickBot="1" x14ac:dyDescent="0.25">
      <c r="A18" s="14">
        <v>46127</v>
      </c>
      <c r="B18" s="6"/>
      <c r="C18" s="134"/>
      <c r="D18" s="2"/>
      <c r="E18" s="6"/>
      <c r="F18" s="134"/>
      <c r="G18" s="2"/>
      <c r="H18" s="8"/>
      <c r="I18" s="134"/>
      <c r="J18" s="4"/>
      <c r="K18" s="6"/>
      <c r="L18" s="134"/>
      <c r="M18" s="2"/>
      <c r="N18" s="8"/>
      <c r="O18" s="134"/>
      <c r="P18" s="4"/>
      <c r="Q18" s="6"/>
      <c r="R18" s="134"/>
      <c r="S18" s="2"/>
      <c r="T18" s="138">
        <f t="shared" si="0"/>
        <v>0</v>
      </c>
    </row>
    <row r="19" spans="1:20" ht="16" thickBot="1" x14ac:dyDescent="0.25">
      <c r="A19" s="14">
        <v>46128</v>
      </c>
      <c r="B19" s="6"/>
      <c r="C19" s="134"/>
      <c r="D19" s="2"/>
      <c r="E19" s="6"/>
      <c r="F19" s="134"/>
      <c r="G19" s="2"/>
      <c r="H19" s="8"/>
      <c r="I19" s="134"/>
      <c r="J19" s="4"/>
      <c r="K19" s="6"/>
      <c r="L19" s="134"/>
      <c r="M19" s="2"/>
      <c r="N19" s="8"/>
      <c r="O19" s="134"/>
      <c r="P19" s="4"/>
      <c r="Q19" s="6"/>
      <c r="R19" s="134"/>
      <c r="S19" s="2"/>
      <c r="T19" s="138">
        <f t="shared" si="0"/>
        <v>0</v>
      </c>
    </row>
    <row r="20" spans="1:20" ht="16" thickBot="1" x14ac:dyDescent="0.25">
      <c r="A20" s="14">
        <v>46129</v>
      </c>
      <c r="B20" s="6"/>
      <c r="C20" s="134"/>
      <c r="D20" s="2"/>
      <c r="E20" s="6"/>
      <c r="F20" s="134"/>
      <c r="G20" s="2"/>
      <c r="H20" s="8"/>
      <c r="I20" s="134"/>
      <c r="J20" s="4"/>
      <c r="K20" s="6"/>
      <c r="L20" s="134"/>
      <c r="M20" s="2"/>
      <c r="N20" s="8"/>
      <c r="O20" s="134"/>
      <c r="P20" s="4"/>
      <c r="Q20" s="6"/>
      <c r="R20" s="134"/>
      <c r="S20" s="2"/>
      <c r="T20" s="138">
        <f t="shared" si="0"/>
        <v>0</v>
      </c>
    </row>
    <row r="21" spans="1:20" ht="16" thickBot="1" x14ac:dyDescent="0.25">
      <c r="A21" s="14">
        <v>46130</v>
      </c>
      <c r="B21" s="6"/>
      <c r="C21" s="134"/>
      <c r="D21" s="2"/>
      <c r="E21" s="6"/>
      <c r="F21" s="134"/>
      <c r="G21" s="2"/>
      <c r="H21" s="8"/>
      <c r="I21" s="134"/>
      <c r="J21" s="4"/>
      <c r="K21" s="6"/>
      <c r="L21" s="134"/>
      <c r="M21" s="2"/>
      <c r="N21" s="8"/>
      <c r="O21" s="134"/>
      <c r="P21" s="4"/>
      <c r="Q21" s="6"/>
      <c r="R21" s="134"/>
      <c r="S21" s="2"/>
      <c r="T21" s="138">
        <f t="shared" si="0"/>
        <v>0</v>
      </c>
    </row>
    <row r="22" spans="1:20" ht="16" thickBot="1" x14ac:dyDescent="0.25">
      <c r="A22" s="14">
        <v>46131</v>
      </c>
      <c r="B22" s="6"/>
      <c r="C22" s="134"/>
      <c r="D22" s="2"/>
      <c r="E22" s="6"/>
      <c r="F22" s="134"/>
      <c r="G22" s="2"/>
      <c r="H22" s="8"/>
      <c r="I22" s="134"/>
      <c r="J22" s="4"/>
      <c r="K22" s="6"/>
      <c r="L22" s="134"/>
      <c r="M22" s="2"/>
      <c r="N22" s="8"/>
      <c r="O22" s="134"/>
      <c r="P22" s="4"/>
      <c r="Q22" s="6"/>
      <c r="R22" s="134"/>
      <c r="S22" s="2"/>
      <c r="T22" s="138">
        <f t="shared" si="0"/>
        <v>0</v>
      </c>
    </row>
    <row r="23" spans="1:20" ht="16" thickBot="1" x14ac:dyDescent="0.25">
      <c r="A23" s="14">
        <v>46132</v>
      </c>
      <c r="B23" s="6"/>
      <c r="C23" s="134"/>
      <c r="D23" s="2"/>
      <c r="E23" s="6"/>
      <c r="F23" s="134"/>
      <c r="G23" s="2"/>
      <c r="H23" s="8"/>
      <c r="I23" s="134"/>
      <c r="J23" s="4"/>
      <c r="K23" s="6"/>
      <c r="L23" s="134"/>
      <c r="M23" s="2"/>
      <c r="N23" s="8"/>
      <c r="O23" s="134"/>
      <c r="P23" s="4"/>
      <c r="Q23" s="6"/>
      <c r="R23" s="134"/>
      <c r="S23" s="2"/>
      <c r="T23" s="138">
        <f t="shared" si="0"/>
        <v>0</v>
      </c>
    </row>
    <row r="24" spans="1:20" ht="16" thickBot="1" x14ac:dyDescent="0.25">
      <c r="A24" s="14">
        <v>46133</v>
      </c>
      <c r="B24" s="6"/>
      <c r="C24" s="134"/>
      <c r="D24" s="2"/>
      <c r="E24" s="6"/>
      <c r="F24" s="134"/>
      <c r="G24" s="2"/>
      <c r="H24" s="8"/>
      <c r="I24" s="134"/>
      <c r="J24" s="4"/>
      <c r="K24" s="6"/>
      <c r="L24" s="134"/>
      <c r="M24" s="2"/>
      <c r="N24" s="8"/>
      <c r="O24" s="134"/>
      <c r="P24" s="4"/>
      <c r="Q24" s="6"/>
      <c r="R24" s="134"/>
      <c r="S24" s="2"/>
      <c r="T24" s="138">
        <f t="shared" si="0"/>
        <v>0</v>
      </c>
    </row>
    <row r="25" spans="1:20" ht="16" thickBot="1" x14ac:dyDescent="0.25">
      <c r="A25" s="14">
        <v>46134</v>
      </c>
      <c r="B25" s="6"/>
      <c r="C25" s="134"/>
      <c r="D25" s="2"/>
      <c r="E25" s="6"/>
      <c r="F25" s="134"/>
      <c r="G25" s="2"/>
      <c r="H25" s="8"/>
      <c r="I25" s="134"/>
      <c r="J25" s="4"/>
      <c r="K25" s="6"/>
      <c r="L25" s="134"/>
      <c r="M25" s="2"/>
      <c r="N25" s="8"/>
      <c r="O25" s="134"/>
      <c r="P25" s="4"/>
      <c r="Q25" s="6"/>
      <c r="R25" s="134"/>
      <c r="S25" s="2"/>
      <c r="T25" s="138">
        <f t="shared" si="0"/>
        <v>0</v>
      </c>
    </row>
    <row r="26" spans="1:20" ht="16" thickBot="1" x14ac:dyDescent="0.25">
      <c r="A26" s="14">
        <v>46135</v>
      </c>
      <c r="B26" s="6"/>
      <c r="C26" s="134"/>
      <c r="D26" s="2"/>
      <c r="E26" s="6"/>
      <c r="F26" s="134"/>
      <c r="G26" s="2"/>
      <c r="H26" s="8"/>
      <c r="I26" s="134"/>
      <c r="J26" s="4"/>
      <c r="K26" s="6"/>
      <c r="L26" s="134"/>
      <c r="M26" s="2"/>
      <c r="N26" s="8"/>
      <c r="O26" s="134"/>
      <c r="P26" s="4"/>
      <c r="Q26" s="6"/>
      <c r="R26" s="134"/>
      <c r="S26" s="2"/>
      <c r="T26" s="138">
        <f t="shared" si="0"/>
        <v>0</v>
      </c>
    </row>
    <row r="27" spans="1:20" ht="16" thickBot="1" x14ac:dyDescent="0.25">
      <c r="A27" s="14">
        <v>46136</v>
      </c>
      <c r="B27" s="6"/>
      <c r="C27" s="134"/>
      <c r="D27" s="2"/>
      <c r="E27" s="6"/>
      <c r="F27" s="134"/>
      <c r="G27" s="2"/>
      <c r="H27" s="8"/>
      <c r="I27" s="134"/>
      <c r="J27" s="4"/>
      <c r="K27" s="6"/>
      <c r="L27" s="134"/>
      <c r="M27" s="2"/>
      <c r="N27" s="8"/>
      <c r="O27" s="134"/>
      <c r="P27" s="4"/>
      <c r="Q27" s="6"/>
      <c r="R27" s="134"/>
      <c r="S27" s="2"/>
      <c r="T27" s="138">
        <f t="shared" si="0"/>
        <v>0</v>
      </c>
    </row>
    <row r="28" spans="1:20" ht="16" thickBot="1" x14ac:dyDescent="0.25">
      <c r="A28" s="14">
        <v>46137</v>
      </c>
      <c r="B28" s="6"/>
      <c r="C28" s="134"/>
      <c r="D28" s="2"/>
      <c r="E28" s="6"/>
      <c r="F28" s="134"/>
      <c r="G28" s="2"/>
      <c r="H28" s="8"/>
      <c r="I28" s="134"/>
      <c r="J28" s="4"/>
      <c r="K28" s="6"/>
      <c r="L28" s="134"/>
      <c r="M28" s="2"/>
      <c r="N28" s="8"/>
      <c r="O28" s="134"/>
      <c r="P28" s="4"/>
      <c r="Q28" s="6"/>
      <c r="R28" s="134"/>
      <c r="S28" s="2"/>
      <c r="T28" s="138">
        <f t="shared" si="0"/>
        <v>0</v>
      </c>
    </row>
    <row r="29" spans="1:20" ht="16" thickBot="1" x14ac:dyDescent="0.25">
      <c r="A29" s="14">
        <v>46138</v>
      </c>
      <c r="B29" s="6"/>
      <c r="C29" s="134"/>
      <c r="D29" s="2"/>
      <c r="E29" s="6"/>
      <c r="F29" s="134"/>
      <c r="G29" s="2"/>
      <c r="H29" s="8"/>
      <c r="I29" s="134"/>
      <c r="J29" s="4"/>
      <c r="K29" s="6"/>
      <c r="L29" s="134"/>
      <c r="M29" s="2"/>
      <c r="N29" s="8"/>
      <c r="O29" s="134"/>
      <c r="P29" s="4"/>
      <c r="Q29" s="6"/>
      <c r="R29" s="134"/>
      <c r="S29" s="2"/>
      <c r="T29" s="138">
        <f t="shared" si="0"/>
        <v>0</v>
      </c>
    </row>
    <row r="30" spans="1:20" ht="16" thickBot="1" x14ac:dyDescent="0.25">
      <c r="A30" s="14">
        <v>46139</v>
      </c>
      <c r="B30" s="6"/>
      <c r="C30" s="134"/>
      <c r="D30" s="2"/>
      <c r="E30" s="6"/>
      <c r="F30" s="134"/>
      <c r="G30" s="2"/>
      <c r="H30" s="8"/>
      <c r="I30" s="134"/>
      <c r="J30" s="4"/>
      <c r="K30" s="6"/>
      <c r="L30" s="134"/>
      <c r="M30" s="2"/>
      <c r="N30" s="8"/>
      <c r="O30" s="134"/>
      <c r="P30" s="4"/>
      <c r="Q30" s="6"/>
      <c r="R30" s="134"/>
      <c r="S30" s="2"/>
      <c r="T30" s="138">
        <f t="shared" si="0"/>
        <v>0</v>
      </c>
    </row>
    <row r="31" spans="1:20" ht="16" thickBot="1" x14ac:dyDescent="0.25">
      <c r="A31" s="14">
        <v>46140</v>
      </c>
      <c r="B31" s="6"/>
      <c r="C31" s="134"/>
      <c r="D31" s="2"/>
      <c r="E31" s="6"/>
      <c r="F31" s="134"/>
      <c r="G31" s="2"/>
      <c r="H31" s="8"/>
      <c r="I31" s="134"/>
      <c r="J31" s="4"/>
      <c r="K31" s="6"/>
      <c r="L31" s="134"/>
      <c r="M31" s="2"/>
      <c r="N31" s="8"/>
      <c r="O31" s="134"/>
      <c r="P31" s="4"/>
      <c r="Q31" s="6"/>
      <c r="R31" s="134"/>
      <c r="S31" s="2"/>
      <c r="T31" s="138">
        <f t="shared" si="0"/>
        <v>0</v>
      </c>
    </row>
    <row r="32" spans="1:20" ht="16" thickBot="1" x14ac:dyDescent="0.25">
      <c r="A32" s="14">
        <v>46141</v>
      </c>
      <c r="B32" s="6"/>
      <c r="C32" s="134"/>
      <c r="D32" s="2"/>
      <c r="E32" s="6"/>
      <c r="F32" s="134"/>
      <c r="G32" s="2"/>
      <c r="H32" s="8"/>
      <c r="I32" s="134"/>
      <c r="J32" s="4"/>
      <c r="K32" s="6"/>
      <c r="L32" s="134"/>
      <c r="M32" s="2"/>
      <c r="N32" s="8"/>
      <c r="O32" s="134"/>
      <c r="P32" s="4"/>
      <c r="Q32" s="6"/>
      <c r="R32" s="134"/>
      <c r="S32" s="2"/>
      <c r="T32" s="138">
        <f t="shared" si="0"/>
        <v>0</v>
      </c>
    </row>
    <row r="33" spans="1:20" ht="16" thickBot="1" x14ac:dyDescent="0.25">
      <c r="A33" s="14">
        <v>46142</v>
      </c>
      <c r="B33" s="6"/>
      <c r="C33" s="134"/>
      <c r="D33" s="2"/>
      <c r="E33" s="6"/>
      <c r="F33" s="134"/>
      <c r="G33" s="2"/>
      <c r="H33" s="8"/>
      <c r="I33" s="134"/>
      <c r="J33" s="4"/>
      <c r="K33" s="6"/>
      <c r="L33" s="134"/>
      <c r="M33" s="2"/>
      <c r="N33" s="8"/>
      <c r="O33" s="134"/>
      <c r="P33" s="4"/>
      <c r="Q33" s="6"/>
      <c r="R33" s="134"/>
      <c r="S33" s="2"/>
      <c r="T33" s="138">
        <f t="shared" si="0"/>
        <v>0</v>
      </c>
    </row>
    <row r="34" spans="1:20" ht="16" thickBot="1" x14ac:dyDescent="0.25">
      <c r="A34" s="41" t="s">
        <v>51</v>
      </c>
      <c r="B34" s="255">
        <f>SUM(C4:C33)</f>
        <v>0</v>
      </c>
      <c r="C34" s="256"/>
      <c r="D34" s="257"/>
      <c r="E34" s="255">
        <f>SUM(F4:F33)</f>
        <v>0</v>
      </c>
      <c r="F34" s="256"/>
      <c r="G34" s="257"/>
      <c r="H34" s="255">
        <f>SUM(I4:I33)</f>
        <v>0</v>
      </c>
      <c r="I34" s="256"/>
      <c r="J34" s="257"/>
      <c r="K34" s="255">
        <f>SUM(L4:L33)</f>
        <v>0</v>
      </c>
      <c r="L34" s="256"/>
      <c r="M34" s="257"/>
      <c r="N34" s="255">
        <f>SUM(O4:O33)</f>
        <v>0</v>
      </c>
      <c r="O34" s="256"/>
      <c r="P34" s="257"/>
      <c r="Q34" s="255">
        <f>SUM(R4:R33)</f>
        <v>0</v>
      </c>
      <c r="R34" s="256"/>
      <c r="S34" s="257"/>
      <c r="T34" s="238">
        <f>SUM(T4:T33)</f>
        <v>0</v>
      </c>
    </row>
    <row r="35" spans="1:20" ht="17" thickBot="1" x14ac:dyDescent="0.25">
      <c r="B35" s="253" t="s">
        <v>11</v>
      </c>
      <c r="C35" s="254"/>
      <c r="D35" s="254"/>
      <c r="E35" s="254"/>
      <c r="F35" s="254"/>
      <c r="G35" s="254"/>
      <c r="H35" s="254"/>
      <c r="I35" s="254"/>
      <c r="J35" s="254"/>
      <c r="K35" s="254"/>
      <c r="L35" s="254"/>
      <c r="M35" s="254"/>
      <c r="N35" s="254"/>
      <c r="O35" s="254"/>
      <c r="P35" s="254"/>
      <c r="Q35" s="254"/>
      <c r="R35" s="254"/>
      <c r="S35" s="258"/>
      <c r="T35" s="239"/>
    </row>
  </sheetData>
  <mergeCells count="17">
    <mergeCell ref="T2:T3"/>
    <mergeCell ref="B34:D34"/>
    <mergeCell ref="E34:G34"/>
    <mergeCell ref="H34:J34"/>
    <mergeCell ref="K34:M34"/>
    <mergeCell ref="N34:P34"/>
    <mergeCell ref="Q34:S34"/>
    <mergeCell ref="T34:T35"/>
    <mergeCell ref="B35:S35"/>
    <mergeCell ref="A1:A3"/>
    <mergeCell ref="B2:D2"/>
    <mergeCell ref="E2:G2"/>
    <mergeCell ref="H2:J2"/>
    <mergeCell ref="K2:M2"/>
    <mergeCell ref="B1:S1"/>
    <mergeCell ref="N2:P2"/>
    <mergeCell ref="Q2:S2"/>
  </mergeCells>
  <dataValidations count="1">
    <dataValidation type="list" allowBlank="1" showInputMessage="1" showErrorMessage="1" sqref="P4:P33 S4:S33 D4:D33 J4:J33 G4:G33 M4:M33" xr:uid="{6B40DB5F-5B1C-40C4-85E5-03A2E4731DE2}">
      <formula1>"Booking,Airbnb,Cash,Bank transfer"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389233E6-BBCF-2647-8D30-5C82848122B6}">
            <x14:iconSet custom="1">
              <x14:cfvo type="percent">
                <xm:f>0</xm:f>
              </x14:cfvo>
              <x14:cfvo type="num">
                <xm:f>17000</xm:f>
              </x14:cfvo>
              <x14:cfvo type="num" gte="0">
                <xm:f>17000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B34 H34 N34</xm:sqref>
        </x14:conditionalFormatting>
        <x14:conditionalFormatting xmlns:xm="http://schemas.microsoft.com/office/excel/2006/main">
          <x14:cfRule type="iconSet" priority="2" id="{84E8598D-AE35-9349-90F9-BC765597A49C}">
            <x14:iconSet custom="1">
              <x14:cfvo type="percent">
                <xm:f>0</xm:f>
              </x14:cfvo>
              <x14:cfvo type="num">
                <xm:f>14000</xm:f>
              </x14:cfvo>
              <x14:cfvo type="num" gte="0">
                <xm:f>14000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E34 K34 Q34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F12BA-D90E-4A1B-B2C9-0F099910348A}">
  <sheetPr codeName="Feuil7"/>
  <dimension ref="A1:T38"/>
  <sheetViews>
    <sheetView showGridLines="0" zoomScale="66" zoomScaleNormal="130" workbookViewId="0">
      <selection activeCell="E26" sqref="E26"/>
    </sheetView>
  </sheetViews>
  <sheetFormatPr baseColWidth="10" defaultColWidth="10.83203125" defaultRowHeight="15" x14ac:dyDescent="0.2"/>
  <cols>
    <col min="2" max="2" width="18.83203125" customWidth="1"/>
    <col min="3" max="3" width="13.33203125" bestFit="1" customWidth="1"/>
    <col min="5" max="5" width="18.83203125" customWidth="1"/>
    <col min="6" max="6" width="13.33203125" bestFit="1" customWidth="1"/>
    <col min="8" max="8" width="18.83203125" customWidth="1"/>
    <col min="9" max="9" width="13.33203125" bestFit="1" customWidth="1"/>
    <col min="11" max="11" width="18.83203125" customWidth="1"/>
    <col min="12" max="12" width="13.33203125" bestFit="1" customWidth="1"/>
    <col min="14" max="14" width="18.83203125" customWidth="1"/>
    <col min="15" max="15" width="13.33203125" bestFit="1" customWidth="1"/>
    <col min="16" max="16" width="12.6640625" customWidth="1"/>
    <col min="17" max="17" width="18.83203125" customWidth="1"/>
    <col min="18" max="18" width="13.33203125" bestFit="1" customWidth="1"/>
    <col min="20" max="20" width="16.5" bestFit="1" customWidth="1"/>
  </cols>
  <sheetData>
    <row r="1" spans="1:20" ht="30" thickBot="1" x14ac:dyDescent="0.4">
      <c r="A1" s="250" t="s">
        <v>0</v>
      </c>
      <c r="B1" s="248" t="s">
        <v>9</v>
      </c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77"/>
      <c r="R1" s="77"/>
      <c r="S1" s="77"/>
    </row>
    <row r="2" spans="1:20" ht="19" x14ac:dyDescent="0.2">
      <c r="A2" s="251"/>
      <c r="B2" s="245" t="s">
        <v>4</v>
      </c>
      <c r="C2" s="246"/>
      <c r="D2" s="247"/>
      <c r="E2" s="245" t="s">
        <v>5</v>
      </c>
      <c r="F2" s="246"/>
      <c r="G2" s="247"/>
      <c r="H2" s="245" t="s">
        <v>6</v>
      </c>
      <c r="I2" s="246"/>
      <c r="J2" s="247"/>
      <c r="K2" s="245" t="s">
        <v>7</v>
      </c>
      <c r="L2" s="246"/>
      <c r="M2" s="247"/>
      <c r="N2" s="245" t="s">
        <v>8</v>
      </c>
      <c r="O2" s="246"/>
      <c r="P2" s="247"/>
      <c r="Q2" s="245" t="s">
        <v>105</v>
      </c>
      <c r="R2" s="246"/>
      <c r="S2" s="247"/>
      <c r="T2" s="240" t="s">
        <v>10</v>
      </c>
    </row>
    <row r="3" spans="1:20" ht="20" thickBot="1" x14ac:dyDescent="0.25">
      <c r="A3" s="252"/>
      <c r="B3" s="16" t="s">
        <v>1</v>
      </c>
      <c r="C3" s="17" t="s">
        <v>2</v>
      </c>
      <c r="D3" s="18" t="s">
        <v>3</v>
      </c>
      <c r="E3" s="16" t="s">
        <v>1</v>
      </c>
      <c r="F3" s="17" t="s">
        <v>2</v>
      </c>
      <c r="G3" s="18" t="s">
        <v>3</v>
      </c>
      <c r="H3" s="16" t="s">
        <v>1</v>
      </c>
      <c r="I3" s="17" t="s">
        <v>2</v>
      </c>
      <c r="J3" s="18" t="s">
        <v>3</v>
      </c>
      <c r="K3" s="16" t="s">
        <v>1</v>
      </c>
      <c r="L3" s="17" t="s">
        <v>2</v>
      </c>
      <c r="M3" s="18" t="s">
        <v>3</v>
      </c>
      <c r="N3" s="16" t="s">
        <v>1</v>
      </c>
      <c r="O3" s="17" t="s">
        <v>2</v>
      </c>
      <c r="P3" s="18" t="s">
        <v>3</v>
      </c>
      <c r="Q3" s="16" t="s">
        <v>1</v>
      </c>
      <c r="R3" s="17" t="s">
        <v>2</v>
      </c>
      <c r="S3" s="18" t="s">
        <v>3</v>
      </c>
      <c r="T3" s="241"/>
    </row>
    <row r="4" spans="1:20" ht="16" thickBot="1" x14ac:dyDescent="0.25">
      <c r="A4" s="43">
        <v>46143</v>
      </c>
      <c r="B4" s="8"/>
      <c r="C4" s="166"/>
      <c r="D4" s="2"/>
      <c r="E4" s="191"/>
      <c r="F4" s="192"/>
      <c r="G4" s="193"/>
      <c r="H4" s="8"/>
      <c r="I4" s="134"/>
      <c r="J4" s="4"/>
      <c r="K4" s="6"/>
      <c r="L4" s="134"/>
      <c r="M4" s="2"/>
      <c r="N4" s="6"/>
      <c r="O4" s="134"/>
      <c r="P4" s="2"/>
      <c r="Q4" s="35"/>
      <c r="R4" s="134"/>
      <c r="S4" s="33"/>
      <c r="T4" s="138">
        <f>C4+F4+I4+L4+O4+R4</f>
        <v>0</v>
      </c>
    </row>
    <row r="5" spans="1:20" ht="16" thickBot="1" x14ac:dyDescent="0.25">
      <c r="A5" s="43">
        <v>46144</v>
      </c>
      <c r="B5" s="8"/>
      <c r="C5" s="166"/>
      <c r="D5" s="2"/>
      <c r="E5" s="191"/>
      <c r="F5" s="192"/>
      <c r="G5" s="193"/>
      <c r="H5" s="8"/>
      <c r="I5" s="134"/>
      <c r="J5" s="4"/>
      <c r="K5" s="6"/>
      <c r="L5" s="134"/>
      <c r="M5" s="2"/>
      <c r="N5" s="6"/>
      <c r="O5" s="134"/>
      <c r="P5" s="2"/>
      <c r="Q5" s="194"/>
      <c r="R5" s="192"/>
      <c r="S5" s="195"/>
      <c r="T5" s="138">
        <f t="shared" ref="T5:T34" si="0">C5+F5+I5+L5+O5+R5</f>
        <v>0</v>
      </c>
    </row>
    <row r="6" spans="1:20" ht="16" thickBot="1" x14ac:dyDescent="0.25">
      <c r="A6" s="43">
        <v>46145</v>
      </c>
      <c r="B6" s="8"/>
      <c r="C6" s="166"/>
      <c r="D6" s="2"/>
      <c r="E6" s="191"/>
      <c r="F6" s="192"/>
      <c r="G6" s="193"/>
      <c r="H6" s="8"/>
      <c r="I6" s="134"/>
      <c r="J6" s="4"/>
      <c r="K6" s="6"/>
      <c r="L6" s="134"/>
      <c r="M6" s="2"/>
      <c r="N6" s="6"/>
      <c r="O6" s="134"/>
      <c r="P6" s="2"/>
      <c r="Q6" s="35"/>
      <c r="R6" s="134"/>
      <c r="S6" s="33"/>
      <c r="T6" s="138">
        <f t="shared" si="0"/>
        <v>0</v>
      </c>
    </row>
    <row r="7" spans="1:20" ht="16" thickBot="1" x14ac:dyDescent="0.25">
      <c r="A7" s="43">
        <v>46146</v>
      </c>
      <c r="B7" s="8"/>
      <c r="C7" s="134"/>
      <c r="D7" s="2"/>
      <c r="E7" s="191"/>
      <c r="F7" s="192"/>
      <c r="G7" s="193"/>
      <c r="H7" s="8"/>
      <c r="I7" s="134"/>
      <c r="J7" s="4"/>
      <c r="K7" s="6"/>
      <c r="L7" s="134"/>
      <c r="M7" s="2"/>
      <c r="N7" s="6"/>
      <c r="O7" s="134"/>
      <c r="P7" s="2"/>
      <c r="Q7" s="35"/>
      <c r="R7" s="134"/>
      <c r="S7" s="33"/>
      <c r="T7" s="138">
        <f t="shared" si="0"/>
        <v>0</v>
      </c>
    </row>
    <row r="8" spans="1:20" ht="16" thickBot="1" x14ac:dyDescent="0.25">
      <c r="A8" s="43">
        <v>46147</v>
      </c>
      <c r="B8" s="8"/>
      <c r="C8" s="134"/>
      <c r="D8" s="2"/>
      <c r="E8" s="191"/>
      <c r="F8" s="192"/>
      <c r="G8" s="193"/>
      <c r="H8" s="8"/>
      <c r="I8" s="134"/>
      <c r="J8" s="4"/>
      <c r="K8" s="6"/>
      <c r="L8" s="134"/>
      <c r="M8" s="2"/>
      <c r="N8" s="6"/>
      <c r="O8" s="134"/>
      <c r="P8" s="2"/>
      <c r="Q8" s="35"/>
      <c r="R8" s="134"/>
      <c r="S8" s="33"/>
      <c r="T8" s="138">
        <f t="shared" si="0"/>
        <v>0</v>
      </c>
    </row>
    <row r="9" spans="1:20" ht="16" thickBot="1" x14ac:dyDescent="0.25">
      <c r="A9" s="43">
        <v>46148</v>
      </c>
      <c r="B9" s="8"/>
      <c r="C9" s="134"/>
      <c r="D9" s="2"/>
      <c r="E9" s="191"/>
      <c r="F9" s="192"/>
      <c r="G9" s="193"/>
      <c r="H9" s="8"/>
      <c r="I9" s="134"/>
      <c r="J9" s="4"/>
      <c r="K9" s="6"/>
      <c r="L9" s="134"/>
      <c r="M9" s="2"/>
      <c r="N9" s="6"/>
      <c r="O9" s="134"/>
      <c r="P9" s="2"/>
      <c r="Q9" s="35"/>
      <c r="R9" s="134"/>
      <c r="S9" s="33"/>
      <c r="T9" s="138">
        <f t="shared" si="0"/>
        <v>0</v>
      </c>
    </row>
    <row r="10" spans="1:20" ht="16" thickBot="1" x14ac:dyDescent="0.25">
      <c r="A10" s="43">
        <v>46149</v>
      </c>
      <c r="B10" s="8"/>
      <c r="C10" s="134"/>
      <c r="D10" s="2"/>
      <c r="E10" s="191"/>
      <c r="F10" s="192"/>
      <c r="G10" s="193"/>
      <c r="H10" s="8"/>
      <c r="I10" s="134"/>
      <c r="J10" s="4"/>
      <c r="K10" s="6"/>
      <c r="L10" s="134"/>
      <c r="M10" s="2"/>
      <c r="N10" s="6"/>
      <c r="O10" s="134"/>
      <c r="P10" s="2"/>
      <c r="Q10" s="35"/>
      <c r="R10" s="134"/>
      <c r="S10" s="33"/>
      <c r="T10" s="138">
        <f t="shared" si="0"/>
        <v>0</v>
      </c>
    </row>
    <row r="11" spans="1:20" ht="16" thickBot="1" x14ac:dyDescent="0.25">
      <c r="A11" s="43">
        <v>46150</v>
      </c>
      <c r="B11" s="8"/>
      <c r="C11" s="134"/>
      <c r="D11" s="2"/>
      <c r="E11" s="6"/>
      <c r="F11" s="134"/>
      <c r="G11" s="2"/>
      <c r="H11" s="8"/>
      <c r="I11" s="134"/>
      <c r="J11" s="4"/>
      <c r="K11" s="6"/>
      <c r="L11" s="134"/>
      <c r="M11" s="2"/>
      <c r="N11" s="6"/>
      <c r="O11" s="134"/>
      <c r="P11" s="2"/>
      <c r="Q11" s="35"/>
      <c r="R11" s="134"/>
      <c r="S11" s="33"/>
      <c r="T11" s="138">
        <f t="shared" si="0"/>
        <v>0</v>
      </c>
    </row>
    <row r="12" spans="1:20" ht="16" thickBot="1" x14ac:dyDescent="0.25">
      <c r="A12" s="43">
        <v>46151</v>
      </c>
      <c r="B12" s="8"/>
      <c r="C12" s="134"/>
      <c r="D12" s="2"/>
      <c r="E12" s="6"/>
      <c r="F12" s="134"/>
      <c r="G12" s="2"/>
      <c r="H12" s="8"/>
      <c r="I12" s="134"/>
      <c r="J12" s="4"/>
      <c r="K12" s="6"/>
      <c r="L12" s="134"/>
      <c r="M12" s="2"/>
      <c r="N12" s="6"/>
      <c r="O12" s="134"/>
      <c r="P12" s="2"/>
      <c r="Q12" s="35"/>
      <c r="R12" s="134"/>
      <c r="S12" s="33"/>
      <c r="T12" s="138">
        <f t="shared" si="0"/>
        <v>0</v>
      </c>
    </row>
    <row r="13" spans="1:20" ht="16" thickBot="1" x14ac:dyDescent="0.25">
      <c r="A13" s="43">
        <v>46152</v>
      </c>
      <c r="B13" s="8"/>
      <c r="C13" s="134"/>
      <c r="D13" s="2"/>
      <c r="E13" s="6"/>
      <c r="F13" s="134"/>
      <c r="G13" s="2"/>
      <c r="H13" s="8"/>
      <c r="I13" s="134"/>
      <c r="J13" s="4"/>
      <c r="K13" s="6"/>
      <c r="L13" s="134"/>
      <c r="M13" s="2"/>
      <c r="N13" s="6"/>
      <c r="O13" s="134"/>
      <c r="P13" s="2"/>
      <c r="Q13" s="35"/>
      <c r="R13" s="134"/>
      <c r="S13" s="33"/>
      <c r="T13" s="138">
        <f t="shared" si="0"/>
        <v>0</v>
      </c>
    </row>
    <row r="14" spans="1:20" ht="16" thickBot="1" x14ac:dyDescent="0.25">
      <c r="A14" s="43">
        <v>46153</v>
      </c>
      <c r="B14" s="8"/>
      <c r="C14" s="134"/>
      <c r="D14" s="2"/>
      <c r="E14" s="6"/>
      <c r="F14" s="134"/>
      <c r="G14" s="2"/>
      <c r="H14" s="8"/>
      <c r="I14" s="134"/>
      <c r="J14" s="4"/>
      <c r="K14" s="6"/>
      <c r="L14" s="134"/>
      <c r="M14" s="2"/>
      <c r="N14" s="6"/>
      <c r="O14" s="134"/>
      <c r="P14" s="2"/>
      <c r="Q14" s="35"/>
      <c r="R14" s="134"/>
      <c r="S14" s="33"/>
      <c r="T14" s="138">
        <f t="shared" si="0"/>
        <v>0</v>
      </c>
    </row>
    <row r="15" spans="1:20" ht="16" thickBot="1" x14ac:dyDescent="0.25">
      <c r="A15" s="43">
        <v>46154</v>
      </c>
      <c r="B15" s="8"/>
      <c r="C15" s="134"/>
      <c r="D15" s="2"/>
      <c r="E15" s="6"/>
      <c r="F15" s="134"/>
      <c r="G15" s="2"/>
      <c r="H15" s="8"/>
      <c r="I15" s="134"/>
      <c r="J15" s="4"/>
      <c r="K15" s="6"/>
      <c r="L15" s="134"/>
      <c r="M15" s="2"/>
      <c r="N15" s="6"/>
      <c r="O15" s="134"/>
      <c r="P15" s="2"/>
      <c r="Q15" s="35"/>
      <c r="R15" s="134"/>
      <c r="S15" s="33"/>
      <c r="T15" s="138">
        <f t="shared" si="0"/>
        <v>0</v>
      </c>
    </row>
    <row r="16" spans="1:20" ht="16" thickBot="1" x14ac:dyDescent="0.25">
      <c r="A16" s="43">
        <v>46155</v>
      </c>
      <c r="B16" s="8"/>
      <c r="C16" s="134"/>
      <c r="D16" s="2"/>
      <c r="E16" s="6"/>
      <c r="F16" s="134"/>
      <c r="G16" s="2"/>
      <c r="H16" s="8"/>
      <c r="I16" s="134"/>
      <c r="J16" s="4"/>
      <c r="K16" s="6"/>
      <c r="L16" s="134"/>
      <c r="M16" s="2"/>
      <c r="N16" s="6"/>
      <c r="O16" s="134"/>
      <c r="P16" s="2"/>
      <c r="Q16" s="35"/>
      <c r="R16" s="134"/>
      <c r="S16" s="33"/>
      <c r="T16" s="138">
        <f t="shared" si="0"/>
        <v>0</v>
      </c>
    </row>
    <row r="17" spans="1:20" ht="16" thickBot="1" x14ac:dyDescent="0.25">
      <c r="A17" s="43">
        <v>46156</v>
      </c>
      <c r="B17" s="8"/>
      <c r="C17" s="134"/>
      <c r="D17" s="2"/>
      <c r="E17" s="6"/>
      <c r="F17" s="134"/>
      <c r="G17" s="2"/>
      <c r="H17" s="8"/>
      <c r="I17" s="134"/>
      <c r="J17" s="4"/>
      <c r="K17" s="6"/>
      <c r="L17" s="134"/>
      <c r="M17" s="2"/>
      <c r="N17" s="6"/>
      <c r="O17" s="134"/>
      <c r="P17" s="2"/>
      <c r="Q17" s="35"/>
      <c r="R17" s="134"/>
      <c r="S17" s="33"/>
      <c r="T17" s="138">
        <f t="shared" si="0"/>
        <v>0</v>
      </c>
    </row>
    <row r="18" spans="1:20" ht="16" thickBot="1" x14ac:dyDescent="0.25">
      <c r="A18" s="43">
        <v>46157</v>
      </c>
      <c r="B18" s="8"/>
      <c r="C18" s="134"/>
      <c r="D18" s="2"/>
      <c r="E18" s="6"/>
      <c r="F18" s="134"/>
      <c r="G18" s="2"/>
      <c r="H18" s="8"/>
      <c r="I18" s="134"/>
      <c r="J18" s="4"/>
      <c r="K18" s="6"/>
      <c r="L18" s="134"/>
      <c r="M18" s="2"/>
      <c r="N18" s="6"/>
      <c r="O18" s="134"/>
      <c r="P18" s="2"/>
      <c r="Q18" s="35"/>
      <c r="R18" s="134"/>
      <c r="S18" s="33"/>
      <c r="T18" s="138">
        <f t="shared" si="0"/>
        <v>0</v>
      </c>
    </row>
    <row r="19" spans="1:20" ht="16" thickBot="1" x14ac:dyDescent="0.25">
      <c r="A19" s="43">
        <v>46158</v>
      </c>
      <c r="B19" s="8"/>
      <c r="C19" s="134"/>
      <c r="D19" s="2"/>
      <c r="E19" s="6"/>
      <c r="F19" s="134"/>
      <c r="G19" s="2"/>
      <c r="H19" s="8"/>
      <c r="I19" s="134"/>
      <c r="J19" s="4"/>
      <c r="K19" s="6"/>
      <c r="L19" s="134"/>
      <c r="M19" s="2"/>
      <c r="N19" s="6"/>
      <c r="O19" s="134"/>
      <c r="P19" s="2"/>
      <c r="Q19" s="35"/>
      <c r="R19" s="134"/>
      <c r="S19" s="33"/>
      <c r="T19" s="138">
        <f t="shared" si="0"/>
        <v>0</v>
      </c>
    </row>
    <row r="20" spans="1:20" ht="16" thickBot="1" x14ac:dyDescent="0.25">
      <c r="A20" s="43">
        <v>46159</v>
      </c>
      <c r="B20" s="8"/>
      <c r="C20" s="134"/>
      <c r="D20" s="2"/>
      <c r="E20" s="6"/>
      <c r="F20" s="134"/>
      <c r="G20" s="2"/>
      <c r="H20" s="8"/>
      <c r="I20" s="134"/>
      <c r="J20" s="4"/>
      <c r="K20" s="6"/>
      <c r="L20" s="134"/>
      <c r="M20" s="2"/>
      <c r="N20" s="6"/>
      <c r="O20" s="134"/>
      <c r="P20" s="2"/>
      <c r="Q20" s="35"/>
      <c r="R20" s="134"/>
      <c r="S20" s="33"/>
      <c r="T20" s="138">
        <f t="shared" si="0"/>
        <v>0</v>
      </c>
    </row>
    <row r="21" spans="1:20" ht="16" thickBot="1" x14ac:dyDescent="0.25">
      <c r="A21" s="43">
        <v>46160</v>
      </c>
      <c r="B21" s="8"/>
      <c r="C21" s="134"/>
      <c r="D21" s="2"/>
      <c r="E21" s="6"/>
      <c r="F21" s="134"/>
      <c r="G21" s="2"/>
      <c r="H21" s="8"/>
      <c r="I21" s="134"/>
      <c r="J21" s="4"/>
      <c r="K21" s="6"/>
      <c r="L21" s="134"/>
      <c r="M21" s="2"/>
      <c r="N21" s="6"/>
      <c r="O21" s="134"/>
      <c r="P21" s="2"/>
      <c r="Q21" s="35"/>
      <c r="R21" s="134"/>
      <c r="S21" s="33"/>
      <c r="T21" s="138">
        <f t="shared" si="0"/>
        <v>0</v>
      </c>
    </row>
    <row r="22" spans="1:20" ht="16" thickBot="1" x14ac:dyDescent="0.25">
      <c r="A22" s="43">
        <v>46161</v>
      </c>
      <c r="B22" s="8"/>
      <c r="C22" s="134"/>
      <c r="D22" s="2"/>
      <c r="E22" s="6"/>
      <c r="F22" s="134"/>
      <c r="G22" s="2"/>
      <c r="H22" s="8"/>
      <c r="I22" s="134"/>
      <c r="J22" s="4"/>
      <c r="K22" s="191"/>
      <c r="L22" s="192"/>
      <c r="M22" s="193"/>
      <c r="N22" s="6"/>
      <c r="O22" s="134"/>
      <c r="P22" s="2"/>
      <c r="Q22" s="35"/>
      <c r="R22" s="134"/>
      <c r="S22" s="33"/>
      <c r="T22" s="138">
        <f t="shared" si="0"/>
        <v>0</v>
      </c>
    </row>
    <row r="23" spans="1:20" ht="16" thickBot="1" x14ac:dyDescent="0.25">
      <c r="A23" s="43">
        <v>46162</v>
      </c>
      <c r="B23" s="8"/>
      <c r="C23" s="134"/>
      <c r="D23" s="2"/>
      <c r="E23" s="6"/>
      <c r="F23" s="134"/>
      <c r="G23" s="2"/>
      <c r="H23" s="8"/>
      <c r="I23" s="134"/>
      <c r="J23" s="4"/>
      <c r="K23" s="191"/>
      <c r="L23" s="192"/>
      <c r="M23" s="193"/>
      <c r="N23" s="6"/>
      <c r="O23" s="134"/>
      <c r="P23" s="2"/>
      <c r="Q23" s="35"/>
      <c r="R23" s="134"/>
      <c r="S23" s="33"/>
      <c r="T23" s="138">
        <f t="shared" si="0"/>
        <v>0</v>
      </c>
    </row>
    <row r="24" spans="1:20" ht="16" thickBot="1" x14ac:dyDescent="0.25">
      <c r="A24" s="43">
        <v>46163</v>
      </c>
      <c r="B24" s="8"/>
      <c r="C24" s="134"/>
      <c r="D24" s="2"/>
      <c r="E24" s="6"/>
      <c r="F24" s="134"/>
      <c r="G24" s="2"/>
      <c r="H24" s="8"/>
      <c r="I24" s="134"/>
      <c r="J24" s="4"/>
      <c r="K24" s="6"/>
      <c r="L24" s="134"/>
      <c r="M24" s="2"/>
      <c r="N24" s="6"/>
      <c r="O24" s="134"/>
      <c r="P24" s="2"/>
      <c r="Q24" s="35"/>
      <c r="R24" s="134"/>
      <c r="S24" s="33"/>
      <c r="T24" s="138">
        <f t="shared" si="0"/>
        <v>0</v>
      </c>
    </row>
    <row r="25" spans="1:20" ht="16" thickBot="1" x14ac:dyDescent="0.25">
      <c r="A25" s="43">
        <v>46164</v>
      </c>
      <c r="B25" s="8"/>
      <c r="C25" s="134"/>
      <c r="D25" s="2"/>
      <c r="E25" s="6"/>
      <c r="F25" s="134"/>
      <c r="G25" s="2"/>
      <c r="H25" s="8"/>
      <c r="I25" s="134"/>
      <c r="J25" s="4"/>
      <c r="K25" s="6"/>
      <c r="L25" s="134"/>
      <c r="M25" s="2"/>
      <c r="N25" s="6"/>
      <c r="O25" s="134"/>
      <c r="P25" s="2"/>
      <c r="Q25" s="35"/>
      <c r="R25" s="134"/>
      <c r="S25" s="33"/>
      <c r="T25" s="138">
        <f t="shared" si="0"/>
        <v>0</v>
      </c>
    </row>
    <row r="26" spans="1:20" ht="16" thickBot="1" x14ac:dyDescent="0.25">
      <c r="A26" s="43">
        <v>46165</v>
      </c>
      <c r="B26" s="8"/>
      <c r="C26" s="134"/>
      <c r="D26" s="2"/>
      <c r="E26" s="6"/>
      <c r="F26" s="134"/>
      <c r="G26" s="2"/>
      <c r="H26" s="8"/>
      <c r="I26" s="134"/>
      <c r="J26" s="4"/>
      <c r="K26" s="6"/>
      <c r="L26" s="134"/>
      <c r="M26" s="2"/>
      <c r="N26" s="6"/>
      <c r="O26" s="134"/>
      <c r="P26" s="2"/>
      <c r="Q26" s="35"/>
      <c r="R26" s="134"/>
      <c r="S26" s="33"/>
      <c r="T26" s="138">
        <f t="shared" si="0"/>
        <v>0</v>
      </c>
    </row>
    <row r="27" spans="1:20" ht="16" thickBot="1" x14ac:dyDescent="0.25">
      <c r="A27" s="43">
        <v>46166</v>
      </c>
      <c r="B27" s="8"/>
      <c r="C27" s="134"/>
      <c r="D27" s="2"/>
      <c r="E27" s="6"/>
      <c r="F27" s="134"/>
      <c r="G27" s="2"/>
      <c r="H27" s="8"/>
      <c r="I27" s="134"/>
      <c r="J27" s="4"/>
      <c r="K27" s="6"/>
      <c r="L27" s="134"/>
      <c r="M27" s="2"/>
      <c r="N27" s="6"/>
      <c r="O27" s="134"/>
      <c r="P27" s="2"/>
      <c r="Q27" s="35"/>
      <c r="R27" s="134"/>
      <c r="S27" s="33"/>
      <c r="T27" s="138">
        <f t="shared" si="0"/>
        <v>0</v>
      </c>
    </row>
    <row r="28" spans="1:20" ht="16" thickBot="1" x14ac:dyDescent="0.25">
      <c r="A28" s="43">
        <v>46167</v>
      </c>
      <c r="B28" s="8"/>
      <c r="C28" s="134"/>
      <c r="D28" s="2"/>
      <c r="E28" s="6"/>
      <c r="F28" s="134"/>
      <c r="G28" s="2"/>
      <c r="H28" s="8"/>
      <c r="I28" s="134"/>
      <c r="J28" s="4"/>
      <c r="K28" s="6"/>
      <c r="L28" s="134"/>
      <c r="M28" s="2"/>
      <c r="N28" s="6"/>
      <c r="O28" s="134"/>
      <c r="P28" s="2"/>
      <c r="Q28" s="35"/>
      <c r="R28" s="134"/>
      <c r="S28" s="33"/>
      <c r="T28" s="138">
        <f t="shared" si="0"/>
        <v>0</v>
      </c>
    </row>
    <row r="29" spans="1:20" ht="16" thickBot="1" x14ac:dyDescent="0.25">
      <c r="A29" s="43">
        <v>46168</v>
      </c>
      <c r="B29" s="8"/>
      <c r="C29" s="134"/>
      <c r="D29" s="2"/>
      <c r="E29" s="6"/>
      <c r="F29" s="134"/>
      <c r="G29" s="2"/>
      <c r="H29" s="8"/>
      <c r="I29" s="134"/>
      <c r="J29" s="4"/>
      <c r="K29" s="6"/>
      <c r="L29" s="134"/>
      <c r="M29" s="2"/>
      <c r="N29" s="191"/>
      <c r="O29" s="192"/>
      <c r="P29" s="193"/>
      <c r="Q29" s="35"/>
      <c r="R29" s="134"/>
      <c r="S29" s="33"/>
      <c r="T29" s="138">
        <f t="shared" si="0"/>
        <v>0</v>
      </c>
    </row>
    <row r="30" spans="1:20" ht="16" thickBot="1" x14ac:dyDescent="0.25">
      <c r="A30" s="43">
        <v>46169</v>
      </c>
      <c r="B30" s="8"/>
      <c r="C30" s="134"/>
      <c r="D30" s="2"/>
      <c r="E30" s="6"/>
      <c r="F30" s="134"/>
      <c r="G30" s="2"/>
      <c r="H30" s="8"/>
      <c r="I30" s="134"/>
      <c r="J30" s="4"/>
      <c r="K30" s="6"/>
      <c r="L30" s="134"/>
      <c r="M30" s="2"/>
      <c r="N30" s="191"/>
      <c r="O30" s="192"/>
      <c r="P30" s="193"/>
      <c r="Q30" s="35"/>
      <c r="R30" s="134"/>
      <c r="S30" s="33"/>
      <c r="T30" s="138">
        <f t="shared" si="0"/>
        <v>0</v>
      </c>
    </row>
    <row r="31" spans="1:20" ht="16" thickBot="1" x14ac:dyDescent="0.25">
      <c r="A31" s="43">
        <v>46170</v>
      </c>
      <c r="B31" s="8"/>
      <c r="C31" s="134"/>
      <c r="D31" s="2"/>
      <c r="E31" s="6"/>
      <c r="F31" s="134"/>
      <c r="G31" s="2"/>
      <c r="H31" s="8"/>
      <c r="I31" s="134"/>
      <c r="J31" s="4"/>
      <c r="K31" s="6"/>
      <c r="L31" s="134"/>
      <c r="M31" s="2"/>
      <c r="N31" s="191"/>
      <c r="O31" s="192"/>
      <c r="P31" s="193"/>
      <c r="Q31" s="35"/>
      <c r="R31" s="134"/>
      <c r="S31" s="33"/>
      <c r="T31" s="138">
        <f t="shared" si="0"/>
        <v>0</v>
      </c>
    </row>
    <row r="32" spans="1:20" ht="16" thickBot="1" x14ac:dyDescent="0.25">
      <c r="A32" s="43">
        <v>46171</v>
      </c>
      <c r="B32" s="8"/>
      <c r="C32" s="134"/>
      <c r="D32" s="2"/>
      <c r="E32" s="6"/>
      <c r="F32" s="134"/>
      <c r="G32" s="2"/>
      <c r="H32" s="8"/>
      <c r="I32" s="134"/>
      <c r="J32" s="4"/>
      <c r="K32" s="6"/>
      <c r="L32" s="134"/>
      <c r="M32" s="2"/>
      <c r="N32" s="191"/>
      <c r="O32" s="192"/>
      <c r="P32" s="193"/>
      <c r="Q32" s="35"/>
      <c r="R32" s="134"/>
      <c r="S32" s="33"/>
      <c r="T32" s="138">
        <f t="shared" si="0"/>
        <v>0</v>
      </c>
    </row>
    <row r="33" spans="1:20" ht="16" thickBot="1" x14ac:dyDescent="0.25">
      <c r="A33" s="43">
        <v>46172</v>
      </c>
      <c r="B33" s="8"/>
      <c r="C33" s="134"/>
      <c r="D33" s="2"/>
      <c r="E33" s="6"/>
      <c r="F33" s="134"/>
      <c r="G33" s="2"/>
      <c r="H33" s="8"/>
      <c r="I33" s="134"/>
      <c r="J33" s="4"/>
      <c r="K33" s="6"/>
      <c r="L33" s="134"/>
      <c r="M33" s="2"/>
      <c r="N33" s="191"/>
      <c r="O33" s="192"/>
      <c r="P33" s="193"/>
      <c r="Q33" s="35"/>
      <c r="R33" s="134"/>
      <c r="S33" s="33"/>
      <c r="T33" s="138">
        <f t="shared" si="0"/>
        <v>0</v>
      </c>
    </row>
    <row r="34" spans="1:20" ht="16" thickBot="1" x14ac:dyDescent="0.25">
      <c r="A34" s="43">
        <v>46173</v>
      </c>
      <c r="B34" s="8"/>
      <c r="C34" s="134"/>
      <c r="D34" s="2"/>
      <c r="E34" s="9"/>
      <c r="F34" s="169"/>
      <c r="G34" s="10"/>
      <c r="H34" s="11"/>
      <c r="I34" s="134"/>
      <c r="J34" s="12"/>
      <c r="K34" s="9"/>
      <c r="L34" s="134"/>
      <c r="M34" s="10"/>
      <c r="N34" s="129"/>
      <c r="O34" s="167"/>
      <c r="P34" s="130"/>
      <c r="R34" s="134"/>
      <c r="S34" s="34"/>
      <c r="T34" s="138">
        <f t="shared" si="0"/>
        <v>0</v>
      </c>
    </row>
    <row r="35" spans="1:20" ht="16" thickBot="1" x14ac:dyDescent="0.25">
      <c r="A35" s="41" t="s">
        <v>51</v>
      </c>
      <c r="B35" s="255">
        <f>SUM(C4:C34)</f>
        <v>0</v>
      </c>
      <c r="C35" s="256"/>
      <c r="D35" s="257"/>
      <c r="E35" s="255">
        <f>SUM(F4:F34)</f>
        <v>0</v>
      </c>
      <c r="F35" s="256"/>
      <c r="G35" s="257"/>
      <c r="H35" s="255">
        <f>SUM(I4:I34)</f>
        <v>0</v>
      </c>
      <c r="I35" s="256"/>
      <c r="J35" s="257"/>
      <c r="K35" s="255">
        <f>SUM(L4:L34)</f>
        <v>0</v>
      </c>
      <c r="L35" s="256"/>
      <c r="M35" s="257"/>
      <c r="N35" s="255">
        <f>SUM(O4:O34)</f>
        <v>0</v>
      </c>
      <c r="O35" s="256"/>
      <c r="P35" s="257"/>
      <c r="Q35" s="255">
        <f>SUM(R4:R34)</f>
        <v>0</v>
      </c>
      <c r="R35" s="256"/>
      <c r="S35" s="257"/>
      <c r="T35" s="238">
        <f>SUM(T4:T34)</f>
        <v>0</v>
      </c>
    </row>
    <row r="36" spans="1:20" ht="17" thickBot="1" x14ac:dyDescent="0.25">
      <c r="B36" s="253" t="s">
        <v>11</v>
      </c>
      <c r="C36" s="254"/>
      <c r="D36" s="254"/>
      <c r="E36" s="254"/>
      <c r="F36" s="254"/>
      <c r="G36" s="254"/>
      <c r="H36" s="254"/>
      <c r="I36" s="254"/>
      <c r="J36" s="254"/>
      <c r="K36" s="254"/>
      <c r="L36" s="254"/>
      <c r="M36" s="254"/>
      <c r="N36" s="254"/>
      <c r="O36" s="254"/>
      <c r="P36" s="254"/>
      <c r="Q36" s="254"/>
      <c r="R36" s="254"/>
      <c r="S36" s="258"/>
      <c r="T36" s="239"/>
    </row>
    <row r="38" spans="1:20" x14ac:dyDescent="0.2">
      <c r="B38" s="36"/>
      <c r="E38" s="36"/>
      <c r="H38" s="36"/>
      <c r="K38" s="36"/>
      <c r="N38" s="36"/>
      <c r="Q38" s="36"/>
      <c r="T38" s="36"/>
    </row>
  </sheetData>
  <mergeCells count="17">
    <mergeCell ref="T35:T36"/>
    <mergeCell ref="T2:T3"/>
    <mergeCell ref="B35:D35"/>
    <mergeCell ref="E35:G35"/>
    <mergeCell ref="H35:J35"/>
    <mergeCell ref="K35:M35"/>
    <mergeCell ref="N35:P35"/>
    <mergeCell ref="Q2:S2"/>
    <mergeCell ref="Q35:S35"/>
    <mergeCell ref="B36:S36"/>
    <mergeCell ref="A1:A3"/>
    <mergeCell ref="B1:P1"/>
    <mergeCell ref="B2:D2"/>
    <mergeCell ref="E2:G2"/>
    <mergeCell ref="H2:J2"/>
    <mergeCell ref="K2:M2"/>
    <mergeCell ref="N2:P2"/>
  </mergeCells>
  <dataValidations count="1">
    <dataValidation type="list" allowBlank="1" showInputMessage="1" showErrorMessage="1" sqref="S4:S34 M4:M34 J4:J34 P4:P34 G4:G34 D4:D34" xr:uid="{B9D8D268-D577-486E-B385-A3AFB4CCF391}">
      <formula1>"Booking,Airbnb,Cash,Bank transfer"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A581A3B1-26C1-274D-A180-D48C1929B368}">
            <x14:iconSet custom="1">
              <x14:cfvo type="percent">
                <xm:f>0</xm:f>
              </x14:cfvo>
              <x14:cfvo type="num">
                <xm:f>17000</xm:f>
              </x14:cfvo>
              <x14:cfvo type="num" gte="0">
                <xm:f>17000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B35 H35 N35</xm:sqref>
        </x14:conditionalFormatting>
        <x14:conditionalFormatting xmlns:xm="http://schemas.microsoft.com/office/excel/2006/main">
          <x14:cfRule type="iconSet" priority="2" id="{A738985D-7EF8-4B47-A0FC-4A9DCECDCEE4}">
            <x14:iconSet custom="1">
              <x14:cfvo type="percent">
                <xm:f>0</xm:f>
              </x14:cfvo>
              <x14:cfvo type="num">
                <xm:f>14000</xm:f>
              </x14:cfvo>
              <x14:cfvo type="num" gte="0">
                <xm:f>14000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E35 K35 Q35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E931A-75CB-42E8-867E-7E996AB979D2}">
  <sheetPr codeName="Feuil8"/>
  <dimension ref="A1:T35"/>
  <sheetViews>
    <sheetView showGridLines="0" zoomScale="75" zoomScaleNormal="70" workbookViewId="0">
      <selection activeCell="A4" sqref="A4:A33"/>
    </sheetView>
  </sheetViews>
  <sheetFormatPr baseColWidth="10" defaultColWidth="10.83203125" defaultRowHeight="15" x14ac:dyDescent="0.2"/>
  <cols>
    <col min="2" max="2" width="18.83203125" customWidth="1"/>
    <col min="3" max="3" width="13.5" bestFit="1" customWidth="1"/>
    <col min="5" max="5" width="18.83203125" customWidth="1"/>
    <col min="6" max="6" width="13.6640625" bestFit="1" customWidth="1"/>
    <col min="8" max="8" width="18.83203125" customWidth="1"/>
    <col min="9" max="9" width="13.5" bestFit="1" customWidth="1"/>
    <col min="11" max="11" width="18.83203125" customWidth="1"/>
    <col min="12" max="12" width="13.5" bestFit="1" customWidth="1"/>
    <col min="14" max="14" width="18.83203125" customWidth="1"/>
    <col min="15" max="15" width="13.5" bestFit="1" customWidth="1"/>
    <col min="16" max="16" width="12.6640625" customWidth="1"/>
    <col min="17" max="17" width="18.83203125" customWidth="1"/>
    <col min="18" max="18" width="14" bestFit="1" customWidth="1"/>
    <col min="20" max="20" width="17" customWidth="1"/>
  </cols>
  <sheetData>
    <row r="1" spans="1:20" ht="30" thickBot="1" x14ac:dyDescent="0.4">
      <c r="A1" s="250" t="s">
        <v>0</v>
      </c>
      <c r="B1" s="248" t="s">
        <v>9</v>
      </c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</row>
    <row r="2" spans="1:20" ht="19" x14ac:dyDescent="0.2">
      <c r="A2" s="251"/>
      <c r="B2" s="245" t="s">
        <v>4</v>
      </c>
      <c r="C2" s="246"/>
      <c r="D2" s="247"/>
      <c r="E2" s="245" t="s">
        <v>5</v>
      </c>
      <c r="F2" s="246"/>
      <c r="G2" s="247"/>
      <c r="H2" s="245" t="s">
        <v>6</v>
      </c>
      <c r="I2" s="246"/>
      <c r="J2" s="247"/>
      <c r="K2" s="245" t="s">
        <v>7</v>
      </c>
      <c r="L2" s="246"/>
      <c r="M2" s="247"/>
      <c r="N2" s="245" t="s">
        <v>8</v>
      </c>
      <c r="O2" s="246"/>
      <c r="P2" s="247"/>
      <c r="Q2" s="245" t="s">
        <v>105</v>
      </c>
      <c r="R2" s="246"/>
      <c r="S2" s="247"/>
      <c r="T2" s="240" t="s">
        <v>10</v>
      </c>
    </row>
    <row r="3" spans="1:20" ht="20" thickBot="1" x14ac:dyDescent="0.25">
      <c r="A3" s="252"/>
      <c r="B3" s="16" t="s">
        <v>1</v>
      </c>
      <c r="C3" s="17" t="s">
        <v>2</v>
      </c>
      <c r="D3" s="18" t="s">
        <v>3</v>
      </c>
      <c r="E3" s="16" t="s">
        <v>1</v>
      </c>
      <c r="F3" s="17" t="s">
        <v>2</v>
      </c>
      <c r="G3" s="18" t="s">
        <v>3</v>
      </c>
      <c r="H3" s="16" t="s">
        <v>1</v>
      </c>
      <c r="I3" s="17" t="s">
        <v>2</v>
      </c>
      <c r="J3" s="18" t="s">
        <v>3</v>
      </c>
      <c r="K3" s="16" t="s">
        <v>1</v>
      </c>
      <c r="L3" s="17" t="s">
        <v>2</v>
      </c>
      <c r="M3" s="18" t="s">
        <v>3</v>
      </c>
      <c r="N3" s="16" t="s">
        <v>1</v>
      </c>
      <c r="O3" s="17" t="s">
        <v>2</v>
      </c>
      <c r="P3" s="18" t="s">
        <v>3</v>
      </c>
      <c r="Q3" s="16" t="s">
        <v>1</v>
      </c>
      <c r="R3" s="17" t="s">
        <v>2</v>
      </c>
      <c r="S3" s="18" t="s">
        <v>3</v>
      </c>
      <c r="T3" s="241"/>
    </row>
    <row r="4" spans="1:20" ht="16" thickBot="1" x14ac:dyDescent="0.25">
      <c r="A4" s="43">
        <v>46174</v>
      </c>
      <c r="B4" s="123"/>
      <c r="C4" s="133"/>
      <c r="D4" s="196"/>
      <c r="E4" s="197"/>
      <c r="F4" s="205"/>
      <c r="G4" s="2"/>
      <c r="H4" s="125"/>
      <c r="I4" s="206"/>
      <c r="J4" s="199"/>
      <c r="K4" s="124"/>
      <c r="L4" s="133"/>
      <c r="M4" s="200"/>
      <c r="N4" s="176"/>
      <c r="O4" s="132"/>
      <c r="P4" s="2"/>
      <c r="Q4" s="201"/>
      <c r="R4" s="133"/>
      <c r="S4" s="202"/>
      <c r="T4" s="13">
        <f>C4+F4+I4+L4+O4+R4</f>
        <v>0</v>
      </c>
    </row>
    <row r="5" spans="1:20" ht="16" thickBot="1" x14ac:dyDescent="0.25">
      <c r="A5" s="43">
        <v>46175</v>
      </c>
      <c r="B5" s="123"/>
      <c r="C5" s="133"/>
      <c r="D5" s="196"/>
      <c r="E5" s="197"/>
      <c r="F5" s="205"/>
      <c r="G5" s="198"/>
      <c r="H5" s="123"/>
      <c r="I5" s="133"/>
      <c r="J5" s="200"/>
      <c r="K5" s="124"/>
      <c r="L5" s="133"/>
      <c r="M5" s="200"/>
      <c r="N5" s="124"/>
      <c r="O5" s="133"/>
      <c r="P5" s="2"/>
      <c r="Q5" s="201"/>
      <c r="R5" s="133"/>
      <c r="S5" s="202"/>
      <c r="T5" s="13">
        <f t="shared" ref="T5:T33" si="0">C5+F5+I5+L5+O5+R5</f>
        <v>0</v>
      </c>
    </row>
    <row r="6" spans="1:20" ht="16" thickBot="1" x14ac:dyDescent="0.25">
      <c r="A6" s="43">
        <v>46176</v>
      </c>
      <c r="B6" s="123"/>
      <c r="C6" s="133"/>
      <c r="D6" s="196"/>
      <c r="E6" s="124"/>
      <c r="F6" s="133"/>
      <c r="G6" s="196"/>
      <c r="H6" s="123"/>
      <c r="I6" s="133"/>
      <c r="J6" s="200"/>
      <c r="K6" s="124"/>
      <c r="L6" s="133"/>
      <c r="M6" s="200"/>
      <c r="N6" s="124"/>
      <c r="O6" s="133"/>
      <c r="P6" s="2"/>
      <c r="Q6" s="201"/>
      <c r="R6" s="133"/>
      <c r="S6" s="202"/>
      <c r="T6" s="13">
        <f t="shared" si="0"/>
        <v>0</v>
      </c>
    </row>
    <row r="7" spans="1:20" ht="16" thickBot="1" x14ac:dyDescent="0.25">
      <c r="A7" s="43">
        <v>46177</v>
      </c>
      <c r="B7" s="123"/>
      <c r="C7" s="133"/>
      <c r="D7" s="196"/>
      <c r="E7" s="124"/>
      <c r="F7" s="133"/>
      <c r="G7" s="196"/>
      <c r="H7" s="123"/>
      <c r="I7" s="133"/>
      <c r="J7" s="200"/>
      <c r="K7" s="124"/>
      <c r="L7" s="133"/>
      <c r="M7" s="200"/>
      <c r="N7" s="124"/>
      <c r="O7" s="133"/>
      <c r="P7" s="2"/>
      <c r="Q7" s="123"/>
      <c r="R7" s="133"/>
      <c r="S7" s="202"/>
      <c r="T7" s="13">
        <f t="shared" si="0"/>
        <v>0</v>
      </c>
    </row>
    <row r="8" spans="1:20" ht="16" thickBot="1" x14ac:dyDescent="0.25">
      <c r="A8" s="43">
        <v>46178</v>
      </c>
      <c r="B8" s="123"/>
      <c r="C8" s="133"/>
      <c r="D8" s="196"/>
      <c r="E8" s="124"/>
      <c r="F8" s="133"/>
      <c r="G8" s="196"/>
      <c r="H8" s="123"/>
      <c r="I8" s="133"/>
      <c r="J8" s="200"/>
      <c r="K8" s="124"/>
      <c r="L8" s="133"/>
      <c r="M8" s="200"/>
      <c r="N8" s="124"/>
      <c r="O8" s="133"/>
      <c r="P8" s="2"/>
      <c r="Q8" s="123"/>
      <c r="R8" s="133"/>
      <c r="S8" s="202"/>
      <c r="T8" s="13">
        <f t="shared" si="0"/>
        <v>0</v>
      </c>
    </row>
    <row r="9" spans="1:20" ht="16" thickBot="1" x14ac:dyDescent="0.25">
      <c r="A9" s="43">
        <v>46179</v>
      </c>
      <c r="B9" s="123"/>
      <c r="C9" s="133"/>
      <c r="D9" s="196"/>
      <c r="E9" s="124"/>
      <c r="F9" s="133"/>
      <c r="G9" s="196"/>
      <c r="H9" s="123"/>
      <c r="I9" s="133"/>
      <c r="J9" s="200"/>
      <c r="K9" s="124"/>
      <c r="L9" s="133"/>
      <c r="M9" s="200"/>
      <c r="N9" s="124"/>
      <c r="O9" s="133"/>
      <c r="P9" s="2"/>
      <c r="Q9" s="123"/>
      <c r="R9" s="133"/>
      <c r="S9" s="202"/>
      <c r="T9" s="13">
        <f t="shared" si="0"/>
        <v>0</v>
      </c>
    </row>
    <row r="10" spans="1:20" ht="16" thickBot="1" x14ac:dyDescent="0.25">
      <c r="A10" s="43">
        <v>46180</v>
      </c>
      <c r="B10" s="123"/>
      <c r="C10" s="133"/>
      <c r="D10" s="196"/>
      <c r="E10" s="124"/>
      <c r="F10" s="133"/>
      <c r="G10" s="196"/>
      <c r="H10" s="123"/>
      <c r="I10" s="133"/>
      <c r="J10" s="200"/>
      <c r="K10" s="124"/>
      <c r="L10" s="133"/>
      <c r="M10" s="200"/>
      <c r="N10" s="124"/>
      <c r="O10" s="133"/>
      <c r="P10" s="2"/>
      <c r="Q10" s="123"/>
      <c r="R10" s="133"/>
      <c r="S10" s="202"/>
      <c r="T10" s="13">
        <f t="shared" si="0"/>
        <v>0</v>
      </c>
    </row>
    <row r="11" spans="1:20" ht="16" thickBot="1" x14ac:dyDescent="0.25">
      <c r="A11" s="43">
        <v>46181</v>
      </c>
      <c r="B11" s="123"/>
      <c r="C11" s="133"/>
      <c r="D11" s="196"/>
      <c r="E11" s="124"/>
      <c r="F11" s="133"/>
      <c r="G11" s="196"/>
      <c r="H11" s="123"/>
      <c r="I11" s="133"/>
      <c r="J11" s="200"/>
      <c r="K11" s="124"/>
      <c r="L11" s="133"/>
      <c r="M11" s="200"/>
      <c r="N11" s="124"/>
      <c r="O11" s="133"/>
      <c r="P11" s="2"/>
      <c r="Q11" s="123"/>
      <c r="R11" s="133"/>
      <c r="S11" s="202"/>
      <c r="T11" s="13">
        <f t="shared" si="0"/>
        <v>0</v>
      </c>
    </row>
    <row r="12" spans="1:20" ht="16" thickBot="1" x14ac:dyDescent="0.25">
      <c r="A12" s="43">
        <v>46182</v>
      </c>
      <c r="B12" s="123"/>
      <c r="C12" s="133"/>
      <c r="D12" s="196"/>
      <c r="E12" s="203"/>
      <c r="F12" s="133"/>
      <c r="G12" s="196"/>
      <c r="H12" s="123"/>
      <c r="I12" s="133"/>
      <c r="J12" s="200"/>
      <c r="K12" s="124"/>
      <c r="L12" s="133"/>
      <c r="M12" s="200"/>
      <c r="N12" s="124"/>
      <c r="O12" s="133"/>
      <c r="P12" s="2"/>
      <c r="Q12" s="123"/>
      <c r="R12" s="133"/>
      <c r="S12" s="202"/>
      <c r="T12" s="13">
        <f t="shared" si="0"/>
        <v>0</v>
      </c>
    </row>
    <row r="13" spans="1:20" ht="16" thickBot="1" x14ac:dyDescent="0.25">
      <c r="A13" s="43">
        <v>46183</v>
      </c>
      <c r="B13" s="123"/>
      <c r="C13" s="133"/>
      <c r="D13" s="196"/>
      <c r="E13" s="203"/>
      <c r="F13" s="133"/>
      <c r="G13" s="196"/>
      <c r="H13" s="123"/>
      <c r="I13" s="133"/>
      <c r="J13" s="200"/>
      <c r="K13" s="124"/>
      <c r="L13" s="133"/>
      <c r="M13" s="200"/>
      <c r="N13" s="124"/>
      <c r="O13" s="133"/>
      <c r="P13" s="2"/>
      <c r="Q13" s="123"/>
      <c r="R13" s="133"/>
      <c r="S13" s="202"/>
      <c r="T13" s="13">
        <f t="shared" si="0"/>
        <v>0</v>
      </c>
    </row>
    <row r="14" spans="1:20" ht="16" thickBot="1" x14ac:dyDescent="0.25">
      <c r="A14" s="43">
        <v>46184</v>
      </c>
      <c r="B14" s="123"/>
      <c r="C14" s="133"/>
      <c r="D14" s="196"/>
      <c r="E14" s="203"/>
      <c r="F14" s="133"/>
      <c r="G14" s="196"/>
      <c r="H14" s="123"/>
      <c r="I14" s="133"/>
      <c r="J14" s="200"/>
      <c r="K14" s="124"/>
      <c r="L14" s="133"/>
      <c r="M14" s="200"/>
      <c r="N14" s="124"/>
      <c r="O14" s="133"/>
      <c r="P14" s="2"/>
      <c r="Q14" s="123"/>
      <c r="R14" s="133"/>
      <c r="S14" s="202"/>
      <c r="T14" s="13">
        <f t="shared" si="0"/>
        <v>0</v>
      </c>
    </row>
    <row r="15" spans="1:20" ht="16" thickBot="1" x14ac:dyDescent="0.25">
      <c r="A15" s="43">
        <v>46185</v>
      </c>
      <c r="B15" s="123"/>
      <c r="C15" s="133"/>
      <c r="D15" s="196"/>
      <c r="E15" s="203"/>
      <c r="F15" s="133"/>
      <c r="G15" s="196"/>
      <c r="H15" s="123"/>
      <c r="I15" s="133"/>
      <c r="J15" s="200"/>
      <c r="K15" s="124"/>
      <c r="L15" s="133"/>
      <c r="M15" s="200"/>
      <c r="N15" s="124"/>
      <c r="O15" s="133"/>
      <c r="P15" s="2"/>
      <c r="Q15" s="123"/>
      <c r="R15" s="133"/>
      <c r="S15" s="202"/>
      <c r="T15" s="13">
        <f t="shared" si="0"/>
        <v>0</v>
      </c>
    </row>
    <row r="16" spans="1:20" ht="16" thickBot="1" x14ac:dyDescent="0.25">
      <c r="A16" s="43">
        <v>46186</v>
      </c>
      <c r="B16" s="123"/>
      <c r="C16" s="133"/>
      <c r="D16" s="196"/>
      <c r="E16" s="203"/>
      <c r="F16" s="133"/>
      <c r="G16" s="196"/>
      <c r="H16" s="123"/>
      <c r="I16" s="133"/>
      <c r="J16" s="200"/>
      <c r="K16" s="124"/>
      <c r="L16" s="133"/>
      <c r="M16" s="200"/>
      <c r="N16" s="124"/>
      <c r="O16" s="133"/>
      <c r="P16" s="2"/>
      <c r="Q16" s="123"/>
      <c r="R16" s="133"/>
      <c r="S16" s="202"/>
      <c r="T16" s="13">
        <f t="shared" si="0"/>
        <v>0</v>
      </c>
    </row>
    <row r="17" spans="1:20" ht="16" thickBot="1" x14ac:dyDescent="0.25">
      <c r="A17" s="43">
        <v>46187</v>
      </c>
      <c r="B17" s="123"/>
      <c r="C17" s="133"/>
      <c r="D17" s="196"/>
      <c r="E17" s="203"/>
      <c r="F17" s="133"/>
      <c r="G17" s="196"/>
      <c r="H17" s="123"/>
      <c r="I17" s="133"/>
      <c r="J17" s="200"/>
      <c r="K17" s="124"/>
      <c r="L17" s="133"/>
      <c r="M17" s="200"/>
      <c r="N17" s="124"/>
      <c r="O17" s="133"/>
      <c r="P17" s="2"/>
      <c r="Q17" s="123"/>
      <c r="R17" s="133"/>
      <c r="S17" s="202"/>
      <c r="T17" s="13">
        <f t="shared" si="0"/>
        <v>0</v>
      </c>
    </row>
    <row r="18" spans="1:20" ht="16" thickBot="1" x14ac:dyDescent="0.25">
      <c r="A18" s="43">
        <v>46188</v>
      </c>
      <c r="B18" s="123"/>
      <c r="C18" s="133"/>
      <c r="D18" s="196"/>
      <c r="E18" s="203"/>
      <c r="F18" s="133"/>
      <c r="G18" s="196"/>
      <c r="H18" s="123"/>
      <c r="I18" s="133"/>
      <c r="J18" s="200"/>
      <c r="K18" s="124"/>
      <c r="L18" s="133"/>
      <c r="M18" s="200"/>
      <c r="N18" s="124"/>
      <c r="O18" s="133"/>
      <c r="P18" s="2"/>
      <c r="Q18" s="123"/>
      <c r="R18" s="133"/>
      <c r="S18" s="202"/>
      <c r="T18" s="13">
        <f t="shared" si="0"/>
        <v>0</v>
      </c>
    </row>
    <row r="19" spans="1:20" ht="16" thickBot="1" x14ac:dyDescent="0.25">
      <c r="A19" s="43">
        <v>46189</v>
      </c>
      <c r="B19" s="123"/>
      <c r="C19" s="133"/>
      <c r="D19" s="196"/>
      <c r="E19" s="203"/>
      <c r="F19" s="133"/>
      <c r="G19" s="196"/>
      <c r="H19" s="123"/>
      <c r="I19" s="133"/>
      <c r="J19" s="200"/>
      <c r="K19" s="124"/>
      <c r="L19" s="133"/>
      <c r="M19" s="200"/>
      <c r="N19" s="124"/>
      <c r="O19" s="133"/>
      <c r="P19" s="2"/>
      <c r="Q19" s="201"/>
      <c r="R19" s="133"/>
      <c r="S19" s="202"/>
      <c r="T19" s="13">
        <f t="shared" si="0"/>
        <v>0</v>
      </c>
    </row>
    <row r="20" spans="1:20" ht="16" thickBot="1" x14ac:dyDescent="0.25">
      <c r="A20" s="43">
        <v>46190</v>
      </c>
      <c r="B20" s="123"/>
      <c r="C20" s="133"/>
      <c r="D20" s="196"/>
      <c r="E20" s="203"/>
      <c r="F20" s="133"/>
      <c r="G20" s="196"/>
      <c r="H20" s="123"/>
      <c r="I20" s="133"/>
      <c r="J20" s="200"/>
      <c r="K20" s="124"/>
      <c r="L20" s="133"/>
      <c r="M20" s="200"/>
      <c r="N20" s="124"/>
      <c r="O20" s="133"/>
      <c r="P20" s="2"/>
      <c r="Q20" s="201"/>
      <c r="R20" s="133"/>
      <c r="S20" s="202"/>
      <c r="T20" s="13">
        <f t="shared" si="0"/>
        <v>0</v>
      </c>
    </row>
    <row r="21" spans="1:20" ht="16" thickBot="1" x14ac:dyDescent="0.25">
      <c r="A21" s="43">
        <v>46191</v>
      </c>
      <c r="B21" s="123"/>
      <c r="C21" s="133"/>
      <c r="D21" s="196"/>
      <c r="E21" s="203"/>
      <c r="F21" s="133"/>
      <c r="G21" s="196"/>
      <c r="H21" s="123"/>
      <c r="I21" s="133"/>
      <c r="J21" s="200"/>
      <c r="K21" s="124"/>
      <c r="L21" s="133"/>
      <c r="M21" s="200"/>
      <c r="N21" s="124"/>
      <c r="O21" s="133"/>
      <c r="P21" s="2"/>
      <c r="Q21" s="201"/>
      <c r="R21" s="133"/>
      <c r="S21" s="202"/>
      <c r="T21" s="13">
        <f t="shared" si="0"/>
        <v>0</v>
      </c>
    </row>
    <row r="22" spans="1:20" ht="16" thickBot="1" x14ac:dyDescent="0.25">
      <c r="A22" s="43">
        <v>46192</v>
      </c>
      <c r="B22" s="123"/>
      <c r="C22" s="133"/>
      <c r="D22" s="196"/>
      <c r="E22" s="203"/>
      <c r="F22" s="133"/>
      <c r="G22" s="196"/>
      <c r="H22" s="123"/>
      <c r="I22" s="133"/>
      <c r="J22" s="200"/>
      <c r="K22" s="124"/>
      <c r="L22" s="133"/>
      <c r="M22" s="200"/>
      <c r="N22" s="124"/>
      <c r="O22" s="133"/>
      <c r="P22" s="2"/>
      <c r="Q22" s="201"/>
      <c r="R22" s="133"/>
      <c r="S22" s="202"/>
      <c r="T22" s="13">
        <f t="shared" si="0"/>
        <v>0</v>
      </c>
    </row>
    <row r="23" spans="1:20" ht="16" thickBot="1" x14ac:dyDescent="0.25">
      <c r="A23" s="43">
        <v>46193</v>
      </c>
      <c r="B23" s="123"/>
      <c r="C23" s="133"/>
      <c r="D23" s="196"/>
      <c r="E23" s="203"/>
      <c r="F23" s="133"/>
      <c r="G23" s="196"/>
      <c r="H23" s="123"/>
      <c r="I23" s="133"/>
      <c r="J23" s="200"/>
      <c r="K23" s="124"/>
      <c r="L23" s="133"/>
      <c r="M23" s="200"/>
      <c r="N23" s="124"/>
      <c r="O23" s="133"/>
      <c r="P23" s="2"/>
      <c r="Q23" s="201"/>
      <c r="R23" s="133"/>
      <c r="S23" s="202"/>
      <c r="T23" s="13">
        <f t="shared" si="0"/>
        <v>0</v>
      </c>
    </row>
    <row r="24" spans="1:20" ht="16" thickBot="1" x14ac:dyDescent="0.25">
      <c r="A24" s="43">
        <v>46194</v>
      </c>
      <c r="B24" s="123"/>
      <c r="C24" s="133"/>
      <c r="D24" s="196"/>
      <c r="E24" s="203"/>
      <c r="F24" s="133"/>
      <c r="G24" s="196"/>
      <c r="H24" s="123"/>
      <c r="I24" s="133"/>
      <c r="J24" s="200"/>
      <c r="K24" s="124"/>
      <c r="L24" s="133"/>
      <c r="M24" s="200"/>
      <c r="N24" s="124"/>
      <c r="O24" s="133"/>
      <c r="P24" s="2"/>
      <c r="Q24" s="201"/>
      <c r="R24" s="133"/>
      <c r="S24" s="202"/>
      <c r="T24" s="13">
        <f t="shared" si="0"/>
        <v>0</v>
      </c>
    </row>
    <row r="25" spans="1:20" ht="16" thickBot="1" x14ac:dyDescent="0.25">
      <c r="A25" s="43">
        <v>46195</v>
      </c>
      <c r="B25" s="123"/>
      <c r="C25" s="133"/>
      <c r="D25" s="196"/>
      <c r="E25" s="203"/>
      <c r="F25" s="133"/>
      <c r="G25" s="196"/>
      <c r="H25" s="123"/>
      <c r="I25" s="133"/>
      <c r="J25" s="200"/>
      <c r="K25" s="124"/>
      <c r="L25" s="133"/>
      <c r="M25" s="200"/>
      <c r="N25" s="124"/>
      <c r="O25" s="133"/>
      <c r="P25" s="2"/>
      <c r="Q25" s="201"/>
      <c r="R25" s="133"/>
      <c r="S25" s="202"/>
      <c r="T25" s="13">
        <f t="shared" si="0"/>
        <v>0</v>
      </c>
    </row>
    <row r="26" spans="1:20" ht="16" thickBot="1" x14ac:dyDescent="0.25">
      <c r="A26" s="43">
        <v>46196</v>
      </c>
      <c r="B26" s="123"/>
      <c r="C26" s="133"/>
      <c r="D26" s="196"/>
      <c r="E26" s="203"/>
      <c r="F26" s="133"/>
      <c r="G26" s="196"/>
      <c r="H26" s="123"/>
      <c r="I26" s="133"/>
      <c r="J26" s="200"/>
      <c r="K26" s="124"/>
      <c r="L26" s="133"/>
      <c r="M26" s="200"/>
      <c r="N26" s="124"/>
      <c r="O26" s="133"/>
      <c r="P26" s="2"/>
      <c r="Q26" s="201"/>
      <c r="R26" s="133"/>
      <c r="S26" s="202"/>
      <c r="T26" s="13">
        <f t="shared" si="0"/>
        <v>0</v>
      </c>
    </row>
    <row r="27" spans="1:20" ht="16" thickBot="1" x14ac:dyDescent="0.25">
      <c r="A27" s="43">
        <v>46197</v>
      </c>
      <c r="B27" s="123"/>
      <c r="C27" s="133"/>
      <c r="D27" s="196"/>
      <c r="E27" s="203"/>
      <c r="F27" s="133"/>
      <c r="G27" s="196"/>
      <c r="H27" s="123"/>
      <c r="I27" s="133"/>
      <c r="J27" s="200"/>
      <c r="K27" s="124"/>
      <c r="L27" s="133"/>
      <c r="M27" s="200"/>
      <c r="N27" s="124"/>
      <c r="O27" s="133"/>
      <c r="P27" s="2"/>
      <c r="Q27" s="201"/>
      <c r="R27" s="133"/>
      <c r="S27" s="202"/>
      <c r="T27" s="13">
        <f t="shared" si="0"/>
        <v>0</v>
      </c>
    </row>
    <row r="28" spans="1:20" ht="16" thickBot="1" x14ac:dyDescent="0.25">
      <c r="A28" s="43">
        <v>46198</v>
      </c>
      <c r="B28" s="123"/>
      <c r="C28" s="133"/>
      <c r="D28" s="196"/>
      <c r="E28" s="203"/>
      <c r="F28" s="133"/>
      <c r="G28" s="196"/>
      <c r="H28" s="123"/>
      <c r="I28" s="133"/>
      <c r="J28" s="200"/>
      <c r="K28" s="124"/>
      <c r="L28" s="207"/>
      <c r="M28" s="200"/>
      <c r="N28" s="124"/>
      <c r="O28" s="133"/>
      <c r="P28" s="2"/>
      <c r="Q28" s="201"/>
      <c r="R28" s="133"/>
      <c r="S28" s="202"/>
      <c r="T28" s="13">
        <f t="shared" si="0"/>
        <v>0</v>
      </c>
    </row>
    <row r="29" spans="1:20" ht="16" thickBot="1" x14ac:dyDescent="0.25">
      <c r="A29" s="43">
        <v>46199</v>
      </c>
      <c r="B29" s="123"/>
      <c r="C29" s="133"/>
      <c r="D29" s="196"/>
      <c r="E29" s="203"/>
      <c r="F29" s="133"/>
      <c r="G29" s="196"/>
      <c r="H29" s="123"/>
      <c r="I29" s="133"/>
      <c r="J29" s="200"/>
      <c r="K29" s="124"/>
      <c r="L29" s="207"/>
      <c r="M29" s="200"/>
      <c r="N29" s="124"/>
      <c r="O29" s="133"/>
      <c r="P29" s="2"/>
      <c r="Q29" s="201"/>
      <c r="R29" s="133"/>
      <c r="S29" s="202"/>
      <c r="T29" s="13">
        <f t="shared" si="0"/>
        <v>0</v>
      </c>
    </row>
    <row r="30" spans="1:20" ht="16" thickBot="1" x14ac:dyDescent="0.25">
      <c r="A30" s="43">
        <v>46200</v>
      </c>
      <c r="B30" s="123"/>
      <c r="C30" s="133"/>
      <c r="D30" s="196"/>
      <c r="E30" s="124"/>
      <c r="F30" s="133"/>
      <c r="G30" s="196"/>
      <c r="H30" s="123"/>
      <c r="I30" s="133"/>
      <c r="J30" s="200"/>
      <c r="K30" s="124"/>
      <c r="L30" s="207"/>
      <c r="M30" s="200"/>
      <c r="N30" s="124"/>
      <c r="O30" s="133"/>
      <c r="P30" s="2"/>
      <c r="Q30" s="201"/>
      <c r="R30" s="133"/>
      <c r="S30" s="202"/>
      <c r="T30" s="13">
        <f t="shared" si="0"/>
        <v>0</v>
      </c>
    </row>
    <row r="31" spans="1:20" ht="16" thickBot="1" x14ac:dyDescent="0.25">
      <c r="A31" s="43">
        <v>46201</v>
      </c>
      <c r="B31" s="123"/>
      <c r="C31" s="133"/>
      <c r="D31" s="196"/>
      <c r="E31" s="124"/>
      <c r="F31" s="133"/>
      <c r="G31" s="196"/>
      <c r="H31" s="123"/>
      <c r="I31" s="133"/>
      <c r="J31" s="200"/>
      <c r="K31" s="124"/>
      <c r="L31" s="207"/>
      <c r="M31" s="200"/>
      <c r="N31" s="124"/>
      <c r="O31" s="133"/>
      <c r="P31" s="2"/>
      <c r="Q31" s="201"/>
      <c r="R31" s="133"/>
      <c r="S31" s="202"/>
      <c r="T31" s="13">
        <f t="shared" si="0"/>
        <v>0</v>
      </c>
    </row>
    <row r="32" spans="1:20" ht="16" thickBot="1" x14ac:dyDescent="0.25">
      <c r="A32" s="43">
        <v>46202</v>
      </c>
      <c r="B32" s="123"/>
      <c r="C32" s="133"/>
      <c r="D32" s="196"/>
      <c r="E32" s="124"/>
      <c r="F32" s="133"/>
      <c r="G32" s="196"/>
      <c r="H32" s="123"/>
      <c r="I32" s="133"/>
      <c r="J32" s="200"/>
      <c r="K32" s="124"/>
      <c r="L32" s="207"/>
      <c r="M32" s="200"/>
      <c r="N32" s="124"/>
      <c r="O32" s="133"/>
      <c r="P32" s="2"/>
      <c r="Q32" s="201"/>
      <c r="R32" s="133"/>
      <c r="S32" s="202"/>
      <c r="T32" s="13">
        <f t="shared" si="0"/>
        <v>0</v>
      </c>
    </row>
    <row r="33" spans="1:20" ht="16" thickBot="1" x14ac:dyDescent="0.25">
      <c r="A33" s="43">
        <v>46203</v>
      </c>
      <c r="B33" s="123"/>
      <c r="C33" s="133"/>
      <c r="D33" s="196"/>
      <c r="E33" s="124"/>
      <c r="F33" s="133"/>
      <c r="G33" s="196"/>
      <c r="H33" s="123"/>
      <c r="I33" s="133"/>
      <c r="J33" s="200"/>
      <c r="K33" s="124"/>
      <c r="L33" s="207"/>
      <c r="M33" s="200"/>
      <c r="N33" s="209"/>
      <c r="O33" s="143"/>
      <c r="P33" s="2"/>
      <c r="Q33" s="208"/>
      <c r="R33" s="143"/>
      <c r="S33" s="204"/>
      <c r="T33" s="13">
        <f t="shared" si="0"/>
        <v>0</v>
      </c>
    </row>
    <row r="34" spans="1:20" ht="16" thickBot="1" x14ac:dyDescent="0.25">
      <c r="A34" s="41" t="s">
        <v>51</v>
      </c>
      <c r="B34" s="255">
        <f>SUM(C4:C33)</f>
        <v>0</v>
      </c>
      <c r="C34" s="256"/>
      <c r="D34" s="257"/>
      <c r="E34" s="255">
        <f>SUM(F4:F33)</f>
        <v>0</v>
      </c>
      <c r="F34" s="256"/>
      <c r="G34" s="257"/>
      <c r="H34" s="255">
        <f>SUM(I4:I33)</f>
        <v>0</v>
      </c>
      <c r="I34" s="256"/>
      <c r="J34" s="257"/>
      <c r="K34" s="255">
        <f>SUM(L4:L33)</f>
        <v>0</v>
      </c>
      <c r="L34" s="256"/>
      <c r="M34" s="257"/>
      <c r="N34" s="255">
        <f>SUM(O4:O33)</f>
        <v>0</v>
      </c>
      <c r="O34" s="256"/>
      <c r="P34" s="257"/>
      <c r="Q34" s="255">
        <f>SUM(R4:R33)</f>
        <v>0</v>
      </c>
      <c r="R34" s="256"/>
      <c r="S34" s="257"/>
      <c r="T34" s="259">
        <f>SUM(T4:T33)</f>
        <v>0</v>
      </c>
    </row>
    <row r="35" spans="1:20" ht="17" thickBot="1" x14ac:dyDescent="0.25">
      <c r="B35" s="253" t="s">
        <v>11</v>
      </c>
      <c r="C35" s="254"/>
      <c r="D35" s="254"/>
      <c r="E35" s="254"/>
      <c r="F35" s="254"/>
      <c r="G35" s="254"/>
      <c r="H35" s="254"/>
      <c r="I35" s="254"/>
      <c r="J35" s="254"/>
      <c r="K35" s="254"/>
      <c r="L35" s="254"/>
      <c r="M35" s="254"/>
      <c r="N35" s="254"/>
      <c r="O35" s="254"/>
      <c r="P35" s="254"/>
      <c r="Q35" s="254"/>
      <c r="R35" s="254"/>
      <c r="S35" s="258"/>
      <c r="T35" s="260"/>
    </row>
  </sheetData>
  <mergeCells count="17">
    <mergeCell ref="T2:T3"/>
    <mergeCell ref="B34:D34"/>
    <mergeCell ref="E34:G34"/>
    <mergeCell ref="H34:J34"/>
    <mergeCell ref="K34:M34"/>
    <mergeCell ref="N34:P34"/>
    <mergeCell ref="T34:T35"/>
    <mergeCell ref="Q2:S2"/>
    <mergeCell ref="Q34:S34"/>
    <mergeCell ref="B35:S35"/>
    <mergeCell ref="N2:P2"/>
    <mergeCell ref="B1:S1"/>
    <mergeCell ref="A1:A3"/>
    <mergeCell ref="B2:D2"/>
    <mergeCell ref="E2:G2"/>
    <mergeCell ref="H2:J2"/>
    <mergeCell ref="K2:M2"/>
  </mergeCells>
  <dataValidations count="1">
    <dataValidation type="list" allowBlank="1" showInputMessage="1" showErrorMessage="1" sqref="P4:P33 G4" xr:uid="{22E37550-51D3-1C42-9FEA-720AE58B1637}">
      <formula1>"Booking,Airbnb,Cash,Bank transfer"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87BB24F1-1641-4C4B-AFC9-32D45D260205}">
            <x14:iconSet custom="1">
              <x14:cfvo type="percent">
                <xm:f>0</xm:f>
              </x14:cfvo>
              <x14:cfvo type="num">
                <xm:f>17000</xm:f>
              </x14:cfvo>
              <x14:cfvo type="num" gte="0">
                <xm:f>17000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B34 H34 N34</xm:sqref>
        </x14:conditionalFormatting>
        <x14:conditionalFormatting xmlns:xm="http://schemas.microsoft.com/office/excel/2006/main">
          <x14:cfRule type="iconSet" priority="2" id="{DE674EEF-5F6E-464A-8362-A99772304AE6}">
            <x14:iconSet custom="1">
              <x14:cfvo type="percent">
                <xm:f>0</xm:f>
              </x14:cfvo>
              <x14:cfvo type="num">
                <xm:f>14000</xm:f>
              </x14:cfvo>
              <x14:cfvo type="num" gte="0">
                <xm:f>14000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E34 K34 Q34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A888C-900F-47A5-BB21-F101DCEEE5E3}">
  <sheetPr codeName="Feuil11"/>
  <dimension ref="A1:T36"/>
  <sheetViews>
    <sheetView showGridLines="0" zoomScale="89" zoomScaleNormal="90" workbookViewId="0">
      <selection activeCell="E17" sqref="E17"/>
    </sheetView>
  </sheetViews>
  <sheetFormatPr baseColWidth="10" defaultColWidth="10.83203125" defaultRowHeight="15" x14ac:dyDescent="0.2"/>
  <cols>
    <col min="1" max="1" width="15.6640625" customWidth="1"/>
    <col min="2" max="2" width="18.83203125" customWidth="1"/>
    <col min="3" max="3" width="13.6640625" customWidth="1"/>
    <col min="5" max="5" width="18.83203125" customWidth="1"/>
    <col min="6" max="6" width="13.6640625" customWidth="1"/>
    <col min="8" max="8" width="18.83203125" customWidth="1"/>
    <col min="9" max="9" width="13.6640625" customWidth="1"/>
    <col min="11" max="11" width="18.83203125" customWidth="1"/>
    <col min="12" max="12" width="13.6640625" customWidth="1"/>
    <col min="14" max="14" width="18.83203125" customWidth="1"/>
    <col min="15" max="15" width="13.6640625" customWidth="1"/>
    <col min="16" max="16" width="12.6640625" customWidth="1"/>
    <col min="17" max="17" width="18.83203125" customWidth="1"/>
    <col min="18" max="18" width="13.6640625" customWidth="1"/>
    <col min="20" max="20" width="18.6640625" customWidth="1"/>
  </cols>
  <sheetData>
    <row r="1" spans="1:20" ht="30" thickBot="1" x14ac:dyDescent="0.4">
      <c r="A1" s="250" t="s">
        <v>0</v>
      </c>
      <c r="B1" s="248" t="s">
        <v>9</v>
      </c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</row>
    <row r="2" spans="1:20" ht="19" x14ac:dyDescent="0.2">
      <c r="A2" s="251"/>
      <c r="B2" s="245" t="s">
        <v>4</v>
      </c>
      <c r="C2" s="246"/>
      <c r="D2" s="247"/>
      <c r="E2" s="245" t="s">
        <v>5</v>
      </c>
      <c r="F2" s="246"/>
      <c r="G2" s="247"/>
      <c r="H2" s="245" t="s">
        <v>6</v>
      </c>
      <c r="I2" s="246"/>
      <c r="J2" s="247"/>
      <c r="K2" s="245" t="s">
        <v>7</v>
      </c>
      <c r="L2" s="246"/>
      <c r="M2" s="247"/>
      <c r="N2" s="245" t="s">
        <v>8</v>
      </c>
      <c r="O2" s="246"/>
      <c r="P2" s="247"/>
      <c r="Q2" s="245" t="s">
        <v>105</v>
      </c>
      <c r="R2" s="246"/>
      <c r="S2" s="247"/>
      <c r="T2" s="240" t="s">
        <v>10</v>
      </c>
    </row>
    <row r="3" spans="1:20" ht="20" thickBot="1" x14ac:dyDescent="0.25">
      <c r="A3" s="252"/>
      <c r="B3" s="16" t="s">
        <v>1</v>
      </c>
      <c r="C3" s="17" t="s">
        <v>2</v>
      </c>
      <c r="D3" s="18" t="s">
        <v>3</v>
      </c>
      <c r="E3" s="16" t="s">
        <v>1</v>
      </c>
      <c r="F3" s="17" t="s">
        <v>2</v>
      </c>
      <c r="G3" s="18" t="s">
        <v>3</v>
      </c>
      <c r="H3" s="16" t="s">
        <v>1</v>
      </c>
      <c r="I3" s="17" t="s">
        <v>2</v>
      </c>
      <c r="J3" s="18" t="s">
        <v>3</v>
      </c>
      <c r="K3" s="16" t="s">
        <v>1</v>
      </c>
      <c r="L3" s="17" t="s">
        <v>2</v>
      </c>
      <c r="M3" s="18" t="s">
        <v>3</v>
      </c>
      <c r="N3" s="16" t="s">
        <v>1</v>
      </c>
      <c r="O3" s="17" t="s">
        <v>2</v>
      </c>
      <c r="P3" s="18" t="s">
        <v>3</v>
      </c>
      <c r="Q3" s="16" t="s">
        <v>1</v>
      </c>
      <c r="R3" s="17" t="s">
        <v>2</v>
      </c>
      <c r="S3" s="18" t="s">
        <v>3</v>
      </c>
      <c r="T3" s="241"/>
    </row>
    <row r="4" spans="1:20" ht="16" thickBot="1" x14ac:dyDescent="0.25">
      <c r="A4" s="43">
        <v>46204</v>
      </c>
      <c r="B4" s="8"/>
      <c r="C4" s="168"/>
      <c r="D4" s="1"/>
      <c r="E4" s="62"/>
      <c r="F4" s="210"/>
      <c r="G4" s="2"/>
      <c r="H4" s="7"/>
      <c r="I4" s="135"/>
      <c r="J4" s="3"/>
      <c r="K4" s="5"/>
      <c r="L4" s="168"/>
      <c r="M4" s="1"/>
      <c r="N4" s="8"/>
      <c r="O4" s="134"/>
      <c r="P4" s="4"/>
      <c r="Q4" s="5"/>
      <c r="R4" s="168"/>
      <c r="S4" s="1"/>
      <c r="T4" s="138">
        <f>C4+F4+I4+L4+O4+R4</f>
        <v>0</v>
      </c>
    </row>
    <row r="5" spans="1:20" ht="16" thickBot="1" x14ac:dyDescent="0.25">
      <c r="A5" s="43">
        <v>46205</v>
      </c>
      <c r="B5" s="8"/>
      <c r="C5" s="134"/>
      <c r="D5" s="2"/>
      <c r="E5" s="6"/>
      <c r="F5" s="134"/>
      <c r="G5" s="2"/>
      <c r="H5" s="7"/>
      <c r="I5" s="134"/>
      <c r="J5" s="4"/>
      <c r="K5" s="6"/>
      <c r="L5" s="134"/>
      <c r="M5" s="2"/>
      <c r="N5" s="8"/>
      <c r="O5" s="134"/>
      <c r="P5" s="4"/>
      <c r="Q5" s="6"/>
      <c r="R5" s="134"/>
      <c r="S5" s="2"/>
      <c r="T5" s="138">
        <f t="shared" ref="T5:T34" si="0">C5+F5+I5+L5+O5+R5</f>
        <v>0</v>
      </c>
    </row>
    <row r="6" spans="1:20" ht="16" thickBot="1" x14ac:dyDescent="0.25">
      <c r="A6" s="43">
        <v>46206</v>
      </c>
      <c r="B6" s="8"/>
      <c r="C6" s="134"/>
      <c r="D6" s="2"/>
      <c r="E6" s="6"/>
      <c r="F6" s="134"/>
      <c r="G6" s="2"/>
      <c r="H6" s="7"/>
      <c r="I6" s="134"/>
      <c r="J6" s="4"/>
      <c r="K6" s="6"/>
      <c r="L6" s="134"/>
      <c r="M6" s="2"/>
      <c r="N6" s="8"/>
      <c r="O6" s="134"/>
      <c r="P6" s="4"/>
      <c r="Q6" s="6"/>
      <c r="R6" s="134"/>
      <c r="S6" s="2"/>
      <c r="T6" s="138">
        <f t="shared" si="0"/>
        <v>0</v>
      </c>
    </row>
    <row r="7" spans="1:20" ht="16" thickBot="1" x14ac:dyDescent="0.25">
      <c r="A7" s="43">
        <v>46207</v>
      </c>
      <c r="B7" s="8"/>
      <c r="C7" s="134"/>
      <c r="D7" s="2"/>
      <c r="E7" s="6"/>
      <c r="F7" s="134"/>
      <c r="G7" s="2"/>
      <c r="H7" s="8"/>
      <c r="I7" s="134"/>
      <c r="J7" s="4"/>
      <c r="K7" s="6"/>
      <c r="L7" s="134"/>
      <c r="M7" s="2"/>
      <c r="N7" s="8"/>
      <c r="O7" s="134"/>
      <c r="P7" s="4"/>
      <c r="Q7" s="6"/>
      <c r="R7" s="134"/>
      <c r="S7" s="2"/>
      <c r="T7" s="138">
        <f t="shared" si="0"/>
        <v>0</v>
      </c>
    </row>
    <row r="8" spans="1:20" ht="16" thickBot="1" x14ac:dyDescent="0.25">
      <c r="A8" s="43">
        <v>46208</v>
      </c>
      <c r="B8" s="8"/>
      <c r="C8" s="134"/>
      <c r="D8" s="2"/>
      <c r="E8" s="6"/>
      <c r="F8" s="134"/>
      <c r="G8" s="2"/>
      <c r="H8" s="8"/>
      <c r="I8" s="134"/>
      <c r="J8" s="4"/>
      <c r="K8" s="6"/>
      <c r="L8" s="134"/>
      <c r="M8" s="2"/>
      <c r="N8" s="8"/>
      <c r="O8" s="134"/>
      <c r="P8" s="4"/>
      <c r="Q8" s="6"/>
      <c r="R8" s="134"/>
      <c r="S8" s="2"/>
      <c r="T8" s="138">
        <f t="shared" si="0"/>
        <v>0</v>
      </c>
    </row>
    <row r="9" spans="1:20" ht="16" thickBot="1" x14ac:dyDescent="0.25">
      <c r="A9" s="43">
        <v>46209</v>
      </c>
      <c r="B9" s="8"/>
      <c r="C9" s="134"/>
      <c r="D9" s="2"/>
      <c r="E9" s="6"/>
      <c r="F9" s="134"/>
      <c r="G9" s="2"/>
      <c r="H9" s="8"/>
      <c r="I9" s="134"/>
      <c r="J9" s="4"/>
      <c r="K9" s="6"/>
      <c r="L9" s="134"/>
      <c r="M9" s="2"/>
      <c r="N9" s="8"/>
      <c r="O9" s="134"/>
      <c r="P9" s="4"/>
      <c r="Q9" s="6"/>
      <c r="R9" s="134"/>
      <c r="S9" s="2"/>
      <c r="T9" s="138">
        <f t="shared" si="0"/>
        <v>0</v>
      </c>
    </row>
    <row r="10" spans="1:20" ht="16" thickBot="1" x14ac:dyDescent="0.25">
      <c r="A10" s="43">
        <v>46210</v>
      </c>
      <c r="B10" s="8"/>
      <c r="C10" s="134"/>
      <c r="D10" s="2"/>
      <c r="E10" s="6"/>
      <c r="F10" s="134"/>
      <c r="G10" s="2"/>
      <c r="H10" s="8"/>
      <c r="I10" s="134"/>
      <c r="J10" s="4"/>
      <c r="K10" s="6"/>
      <c r="L10" s="134"/>
      <c r="M10" s="2"/>
      <c r="N10" s="8"/>
      <c r="O10" s="134"/>
      <c r="P10" s="4"/>
      <c r="Q10" s="6"/>
      <c r="R10" s="134"/>
      <c r="S10" s="2"/>
      <c r="T10" s="138">
        <f t="shared" si="0"/>
        <v>0</v>
      </c>
    </row>
    <row r="11" spans="1:20" ht="16" thickBot="1" x14ac:dyDescent="0.25">
      <c r="A11" s="43">
        <v>46211</v>
      </c>
      <c r="B11" s="8"/>
      <c r="C11" s="134"/>
      <c r="D11" s="2"/>
      <c r="E11" s="6"/>
      <c r="F11" s="134"/>
      <c r="G11" s="2"/>
      <c r="H11" s="8"/>
      <c r="I11" s="134"/>
      <c r="J11" s="4"/>
      <c r="K11" s="6"/>
      <c r="L11" s="134"/>
      <c r="M11" s="2"/>
      <c r="N11" s="8"/>
      <c r="O11" s="134"/>
      <c r="P11" s="4"/>
      <c r="Q11" s="6"/>
      <c r="R11" s="134"/>
      <c r="S11" s="2"/>
      <c r="T11" s="138">
        <f t="shared" si="0"/>
        <v>0</v>
      </c>
    </row>
    <row r="12" spans="1:20" ht="16" thickBot="1" x14ac:dyDescent="0.25">
      <c r="A12" s="43">
        <v>46212</v>
      </c>
      <c r="B12" s="8"/>
      <c r="C12" s="134"/>
      <c r="D12" s="2"/>
      <c r="E12" s="6"/>
      <c r="F12" s="134"/>
      <c r="G12" s="2"/>
      <c r="H12" s="8"/>
      <c r="I12" s="134"/>
      <c r="J12" s="4"/>
      <c r="K12" s="6"/>
      <c r="L12" s="134"/>
      <c r="M12" s="2"/>
      <c r="N12" s="8"/>
      <c r="O12" s="134"/>
      <c r="P12" s="4"/>
      <c r="Q12" s="6"/>
      <c r="R12" s="134"/>
      <c r="S12" s="2"/>
      <c r="T12" s="138">
        <f t="shared" si="0"/>
        <v>0</v>
      </c>
    </row>
    <row r="13" spans="1:20" ht="16" thickBot="1" x14ac:dyDescent="0.25">
      <c r="A13" s="43">
        <v>46213</v>
      </c>
      <c r="B13" s="8"/>
      <c r="C13" s="134"/>
      <c r="D13" s="2"/>
      <c r="E13" s="6"/>
      <c r="F13" s="134"/>
      <c r="G13" s="2"/>
      <c r="H13" s="8"/>
      <c r="I13" s="134"/>
      <c r="J13" s="4"/>
      <c r="K13" s="6"/>
      <c r="L13" s="134"/>
      <c r="M13" s="2"/>
      <c r="N13" s="8"/>
      <c r="O13" s="134"/>
      <c r="P13" s="4"/>
      <c r="Q13" s="6"/>
      <c r="R13" s="134"/>
      <c r="S13" s="2"/>
      <c r="T13" s="138">
        <f t="shared" si="0"/>
        <v>0</v>
      </c>
    </row>
    <row r="14" spans="1:20" ht="16" thickBot="1" x14ac:dyDescent="0.25">
      <c r="A14" s="43">
        <v>46214</v>
      </c>
      <c r="B14" s="8"/>
      <c r="C14" s="134"/>
      <c r="D14" s="2"/>
      <c r="E14" s="6"/>
      <c r="F14" s="134"/>
      <c r="G14" s="2"/>
      <c r="H14" s="8"/>
      <c r="I14" s="134"/>
      <c r="J14" s="4"/>
      <c r="K14" s="6"/>
      <c r="L14" s="134"/>
      <c r="M14" s="2"/>
      <c r="N14" s="8"/>
      <c r="O14" s="134"/>
      <c r="P14" s="4"/>
      <c r="Q14" s="6"/>
      <c r="R14" s="134"/>
      <c r="S14" s="2"/>
      <c r="T14" s="138">
        <f t="shared" si="0"/>
        <v>0</v>
      </c>
    </row>
    <row r="15" spans="1:20" ht="16" thickBot="1" x14ac:dyDescent="0.25">
      <c r="A15" s="43">
        <v>46215</v>
      </c>
      <c r="B15" s="8"/>
      <c r="C15" s="134"/>
      <c r="D15" s="2"/>
      <c r="E15" s="6"/>
      <c r="F15" s="134"/>
      <c r="G15" s="2"/>
      <c r="H15" s="8"/>
      <c r="I15" s="134"/>
      <c r="J15" s="4"/>
      <c r="K15" s="6"/>
      <c r="L15" s="134"/>
      <c r="M15" s="2"/>
      <c r="N15" s="8"/>
      <c r="O15" s="134"/>
      <c r="P15" s="4"/>
      <c r="Q15" s="6"/>
      <c r="R15" s="134"/>
      <c r="S15" s="2"/>
      <c r="T15" s="138">
        <f t="shared" si="0"/>
        <v>0</v>
      </c>
    </row>
    <row r="16" spans="1:20" ht="16" thickBot="1" x14ac:dyDescent="0.25">
      <c r="A16" s="43">
        <v>46216</v>
      </c>
      <c r="B16" s="8"/>
      <c r="C16" s="134"/>
      <c r="D16" s="2"/>
      <c r="E16" s="6"/>
      <c r="F16" s="134"/>
      <c r="G16" s="2"/>
      <c r="H16" s="8"/>
      <c r="I16" s="134"/>
      <c r="J16" s="4"/>
      <c r="K16" s="6"/>
      <c r="L16" s="134"/>
      <c r="M16" s="2"/>
      <c r="N16" s="8"/>
      <c r="O16" s="134"/>
      <c r="P16" s="4"/>
      <c r="Q16" s="6"/>
      <c r="R16" s="134"/>
      <c r="S16" s="2"/>
      <c r="T16" s="138">
        <f t="shared" si="0"/>
        <v>0</v>
      </c>
    </row>
    <row r="17" spans="1:20" ht="16" thickBot="1" x14ac:dyDescent="0.25">
      <c r="A17" s="43">
        <v>46217</v>
      </c>
      <c r="B17" s="8"/>
      <c r="C17" s="134"/>
      <c r="D17" s="2"/>
      <c r="E17" s="6"/>
      <c r="F17" s="134"/>
      <c r="G17" s="2"/>
      <c r="H17" s="8"/>
      <c r="I17" s="134"/>
      <c r="J17" s="4"/>
      <c r="K17" s="6"/>
      <c r="L17" s="134"/>
      <c r="M17" s="2"/>
      <c r="N17" s="8"/>
      <c r="O17" s="134"/>
      <c r="P17" s="4"/>
      <c r="Q17" s="6"/>
      <c r="R17" s="134"/>
      <c r="S17" s="2"/>
      <c r="T17" s="138">
        <f t="shared" si="0"/>
        <v>0</v>
      </c>
    </row>
    <row r="18" spans="1:20" ht="16" thickBot="1" x14ac:dyDescent="0.25">
      <c r="A18" s="43">
        <v>46218</v>
      </c>
      <c r="B18" s="8"/>
      <c r="C18" s="134"/>
      <c r="D18" s="2"/>
      <c r="E18" s="6"/>
      <c r="F18" s="134"/>
      <c r="G18" s="2"/>
      <c r="H18" s="8"/>
      <c r="I18" s="134"/>
      <c r="J18" s="4"/>
      <c r="K18" s="6"/>
      <c r="L18" s="134"/>
      <c r="M18" s="2"/>
      <c r="N18" s="8"/>
      <c r="O18" s="134"/>
      <c r="P18" s="4"/>
      <c r="Q18" s="6"/>
      <c r="R18" s="134"/>
      <c r="S18" s="2"/>
      <c r="T18" s="138">
        <f t="shared" si="0"/>
        <v>0</v>
      </c>
    </row>
    <row r="19" spans="1:20" ht="16" thickBot="1" x14ac:dyDescent="0.25">
      <c r="A19" s="43">
        <v>46219</v>
      </c>
      <c r="B19" s="8"/>
      <c r="C19" s="134"/>
      <c r="D19" s="2"/>
      <c r="E19" s="6"/>
      <c r="F19" s="134"/>
      <c r="G19" s="2"/>
      <c r="H19" s="8"/>
      <c r="I19" s="134"/>
      <c r="J19" s="4"/>
      <c r="K19" s="6"/>
      <c r="L19" s="134"/>
      <c r="M19" s="2"/>
      <c r="N19" s="211"/>
      <c r="O19" s="192"/>
      <c r="P19" s="212"/>
      <c r="Q19" s="6"/>
      <c r="R19" s="134"/>
      <c r="S19" s="2"/>
      <c r="T19" s="138">
        <f t="shared" si="0"/>
        <v>0</v>
      </c>
    </row>
    <row r="20" spans="1:20" ht="16" thickBot="1" x14ac:dyDescent="0.25">
      <c r="A20" s="43">
        <v>46220</v>
      </c>
      <c r="B20" s="8"/>
      <c r="C20" s="134"/>
      <c r="D20" s="2"/>
      <c r="E20" s="6"/>
      <c r="F20" s="134"/>
      <c r="G20" s="2"/>
      <c r="H20" s="8"/>
      <c r="I20" s="134"/>
      <c r="J20" s="4"/>
      <c r="K20" s="6"/>
      <c r="L20" s="134"/>
      <c r="M20" s="2"/>
      <c r="N20" s="211"/>
      <c r="O20" s="192"/>
      <c r="P20" s="212"/>
      <c r="Q20" s="6"/>
      <c r="R20" s="134"/>
      <c r="S20" s="2"/>
      <c r="T20" s="138">
        <f t="shared" si="0"/>
        <v>0</v>
      </c>
    </row>
    <row r="21" spans="1:20" ht="16" thickBot="1" x14ac:dyDescent="0.25">
      <c r="A21" s="43">
        <v>46221</v>
      </c>
      <c r="B21" s="8"/>
      <c r="C21" s="134"/>
      <c r="D21" s="2"/>
      <c r="E21" s="6"/>
      <c r="F21" s="134"/>
      <c r="G21" s="2"/>
      <c r="H21" s="8"/>
      <c r="I21" s="134"/>
      <c r="J21" s="4"/>
      <c r="K21" s="6"/>
      <c r="L21" s="134"/>
      <c r="M21" s="2"/>
      <c r="N21" s="211"/>
      <c r="O21" s="192"/>
      <c r="P21" s="212"/>
      <c r="Q21" s="6"/>
      <c r="R21" s="134"/>
      <c r="S21" s="2"/>
      <c r="T21" s="138">
        <f t="shared" si="0"/>
        <v>0</v>
      </c>
    </row>
    <row r="22" spans="1:20" ht="16" thickBot="1" x14ac:dyDescent="0.25">
      <c r="A22" s="43">
        <v>46222</v>
      </c>
      <c r="B22" s="8"/>
      <c r="C22" s="134"/>
      <c r="D22" s="2"/>
      <c r="E22" s="6"/>
      <c r="F22" s="134"/>
      <c r="G22" s="2"/>
      <c r="H22" s="8"/>
      <c r="I22" s="134"/>
      <c r="J22" s="4"/>
      <c r="K22" s="6"/>
      <c r="L22" s="134"/>
      <c r="M22" s="2"/>
      <c r="N22" s="211"/>
      <c r="O22" s="192"/>
      <c r="P22" s="212"/>
      <c r="Q22" s="6"/>
      <c r="R22" s="134"/>
      <c r="S22" s="2"/>
      <c r="T22" s="138">
        <f t="shared" si="0"/>
        <v>0</v>
      </c>
    </row>
    <row r="23" spans="1:20" ht="16" thickBot="1" x14ac:dyDescent="0.25">
      <c r="A23" s="43">
        <v>46223</v>
      </c>
      <c r="B23" s="8"/>
      <c r="C23" s="134"/>
      <c r="D23" s="2"/>
      <c r="E23" s="6"/>
      <c r="F23" s="134"/>
      <c r="G23" s="2"/>
      <c r="H23" s="8"/>
      <c r="I23" s="134"/>
      <c r="J23" s="4"/>
      <c r="K23" s="6"/>
      <c r="L23" s="134"/>
      <c r="M23" s="2"/>
      <c r="N23" s="211"/>
      <c r="O23" s="192"/>
      <c r="P23" s="212"/>
      <c r="Q23" s="6"/>
      <c r="R23" s="134"/>
      <c r="S23" s="2"/>
      <c r="T23" s="138">
        <f t="shared" si="0"/>
        <v>0</v>
      </c>
    </row>
    <row r="24" spans="1:20" ht="16" thickBot="1" x14ac:dyDescent="0.25">
      <c r="A24" s="43">
        <v>46224</v>
      </c>
      <c r="B24" s="8"/>
      <c r="C24" s="134"/>
      <c r="D24" s="2"/>
      <c r="E24" s="6"/>
      <c r="F24" s="134"/>
      <c r="G24" s="2"/>
      <c r="H24" s="8"/>
      <c r="I24" s="134"/>
      <c r="J24" s="4"/>
      <c r="K24" s="6"/>
      <c r="L24" s="134"/>
      <c r="M24" s="2"/>
      <c r="N24" s="8"/>
      <c r="O24" s="134"/>
      <c r="P24" s="4"/>
      <c r="Q24" s="6"/>
      <c r="R24" s="134"/>
      <c r="S24" s="2"/>
      <c r="T24" s="138">
        <f t="shared" si="0"/>
        <v>0</v>
      </c>
    </row>
    <row r="25" spans="1:20" ht="16" thickBot="1" x14ac:dyDescent="0.25">
      <c r="A25" s="43">
        <v>46225</v>
      </c>
      <c r="B25" s="8"/>
      <c r="C25" s="134"/>
      <c r="D25" s="2"/>
      <c r="E25" s="6"/>
      <c r="F25" s="134"/>
      <c r="G25" s="2"/>
      <c r="H25" s="8"/>
      <c r="I25" s="134"/>
      <c r="J25" s="4"/>
      <c r="K25" s="6"/>
      <c r="L25" s="134"/>
      <c r="M25" s="2"/>
      <c r="N25" s="8"/>
      <c r="O25" s="134"/>
      <c r="P25" s="4"/>
      <c r="Q25" s="6"/>
      <c r="R25" s="134"/>
      <c r="S25" s="2"/>
      <c r="T25" s="138">
        <f t="shared" si="0"/>
        <v>0</v>
      </c>
    </row>
    <row r="26" spans="1:20" ht="16" thickBot="1" x14ac:dyDescent="0.25">
      <c r="A26" s="43">
        <v>46226</v>
      </c>
      <c r="B26" s="8"/>
      <c r="C26" s="134"/>
      <c r="D26" s="2"/>
      <c r="E26" s="6"/>
      <c r="F26" s="134"/>
      <c r="G26" s="2"/>
      <c r="H26" s="8"/>
      <c r="I26" s="134"/>
      <c r="J26" s="4"/>
      <c r="K26" s="6"/>
      <c r="L26" s="134"/>
      <c r="M26" s="2"/>
      <c r="N26" s="8"/>
      <c r="O26" s="134"/>
      <c r="P26" s="4"/>
      <c r="Q26" s="6"/>
      <c r="R26" s="134"/>
      <c r="S26" s="2"/>
      <c r="T26" s="138">
        <f t="shared" si="0"/>
        <v>0</v>
      </c>
    </row>
    <row r="27" spans="1:20" ht="16" thickBot="1" x14ac:dyDescent="0.25">
      <c r="A27" s="43">
        <v>46227</v>
      </c>
      <c r="B27" s="8"/>
      <c r="C27" s="134"/>
      <c r="D27" s="2"/>
      <c r="E27" s="6"/>
      <c r="F27" s="134"/>
      <c r="G27" s="2"/>
      <c r="H27" s="8"/>
      <c r="I27" s="134"/>
      <c r="J27" s="4"/>
      <c r="K27" s="6"/>
      <c r="L27" s="134"/>
      <c r="M27" s="2"/>
      <c r="N27" s="8"/>
      <c r="O27" s="134"/>
      <c r="P27" s="4"/>
      <c r="Q27" s="6"/>
      <c r="R27" s="134"/>
      <c r="S27" s="2"/>
      <c r="T27" s="138">
        <f t="shared" si="0"/>
        <v>0</v>
      </c>
    </row>
    <row r="28" spans="1:20" ht="16" thickBot="1" x14ac:dyDescent="0.25">
      <c r="A28" s="43">
        <v>46228</v>
      </c>
      <c r="B28" s="8"/>
      <c r="C28" s="134"/>
      <c r="D28" s="2"/>
      <c r="E28" s="6"/>
      <c r="F28" s="134"/>
      <c r="G28" s="2"/>
      <c r="H28" s="8"/>
      <c r="I28" s="134"/>
      <c r="J28" s="4"/>
      <c r="K28" s="6"/>
      <c r="L28" s="134"/>
      <c r="M28" s="2"/>
      <c r="N28" s="8"/>
      <c r="O28" s="134"/>
      <c r="P28" s="4"/>
      <c r="Q28" s="6"/>
      <c r="R28" s="134"/>
      <c r="S28" s="2"/>
      <c r="T28" s="138">
        <f t="shared" si="0"/>
        <v>0</v>
      </c>
    </row>
    <row r="29" spans="1:20" ht="16" thickBot="1" x14ac:dyDescent="0.25">
      <c r="A29" s="43">
        <v>46229</v>
      </c>
      <c r="B29" s="8"/>
      <c r="C29" s="134"/>
      <c r="D29" s="2"/>
      <c r="E29" s="6"/>
      <c r="F29" s="134"/>
      <c r="G29" s="2"/>
      <c r="H29" s="8"/>
      <c r="I29" s="134"/>
      <c r="J29" s="4"/>
      <c r="K29" s="6"/>
      <c r="L29" s="134"/>
      <c r="M29" s="2"/>
      <c r="N29" s="8"/>
      <c r="O29" s="134"/>
      <c r="P29" s="4"/>
      <c r="Q29" s="6"/>
      <c r="R29" s="134"/>
      <c r="S29" s="2"/>
      <c r="T29" s="138">
        <f t="shared" si="0"/>
        <v>0</v>
      </c>
    </row>
    <row r="30" spans="1:20" ht="16" thickBot="1" x14ac:dyDescent="0.25">
      <c r="A30" s="43">
        <v>46230</v>
      </c>
      <c r="B30" s="8"/>
      <c r="C30" s="134"/>
      <c r="D30" s="2"/>
      <c r="E30" s="6"/>
      <c r="F30" s="134"/>
      <c r="G30" s="2"/>
      <c r="H30" s="8"/>
      <c r="I30" s="134"/>
      <c r="J30" s="4"/>
      <c r="K30" s="6"/>
      <c r="L30" s="134"/>
      <c r="M30" s="2"/>
      <c r="N30" s="8"/>
      <c r="O30" s="134"/>
      <c r="P30" s="4"/>
      <c r="Q30" s="6"/>
      <c r="R30" s="134"/>
      <c r="S30" s="2"/>
      <c r="T30" s="138">
        <f t="shared" si="0"/>
        <v>0</v>
      </c>
    </row>
    <row r="31" spans="1:20" ht="16" thickBot="1" x14ac:dyDescent="0.25">
      <c r="A31" s="43">
        <v>46231</v>
      </c>
      <c r="B31" s="8"/>
      <c r="C31" s="134"/>
      <c r="D31" s="2"/>
      <c r="E31" s="6"/>
      <c r="F31" s="134"/>
      <c r="G31" s="2"/>
      <c r="H31" s="8"/>
      <c r="I31" s="134"/>
      <c r="J31" s="4"/>
      <c r="K31" s="6"/>
      <c r="L31" s="134"/>
      <c r="M31" s="2"/>
      <c r="N31" s="8"/>
      <c r="O31" s="134"/>
      <c r="P31" s="4"/>
      <c r="Q31" s="6"/>
      <c r="R31" s="134"/>
      <c r="S31" s="2"/>
      <c r="T31" s="138">
        <f t="shared" si="0"/>
        <v>0</v>
      </c>
    </row>
    <row r="32" spans="1:20" ht="16" thickBot="1" x14ac:dyDescent="0.25">
      <c r="A32" s="43">
        <v>46232</v>
      </c>
      <c r="B32" s="8"/>
      <c r="C32" s="134"/>
      <c r="D32" s="2"/>
      <c r="E32" s="6"/>
      <c r="F32" s="134"/>
      <c r="G32" s="2"/>
      <c r="H32" s="8"/>
      <c r="I32" s="134"/>
      <c r="J32" s="4"/>
      <c r="K32" s="6"/>
      <c r="L32" s="134"/>
      <c r="M32" s="2"/>
      <c r="N32" s="8"/>
      <c r="O32" s="134"/>
      <c r="P32" s="4"/>
      <c r="Q32" s="6"/>
      <c r="R32" s="134"/>
      <c r="S32" s="2"/>
      <c r="T32" s="138">
        <f t="shared" si="0"/>
        <v>0</v>
      </c>
    </row>
    <row r="33" spans="1:20" ht="16" thickBot="1" x14ac:dyDescent="0.25">
      <c r="A33" s="43">
        <v>46233</v>
      </c>
      <c r="B33" s="8"/>
      <c r="C33" s="134"/>
      <c r="D33" s="2"/>
      <c r="E33" s="6"/>
      <c r="F33" s="134"/>
      <c r="G33" s="2"/>
      <c r="H33" s="8"/>
      <c r="I33" s="134"/>
      <c r="J33" s="4"/>
      <c r="K33" s="6"/>
      <c r="L33" s="134"/>
      <c r="M33" s="2"/>
      <c r="N33" s="8"/>
      <c r="O33" s="134"/>
      <c r="P33" s="4"/>
      <c r="Q33" s="6"/>
      <c r="R33" s="134"/>
      <c r="S33" s="2"/>
      <c r="T33" s="138">
        <f t="shared" si="0"/>
        <v>0</v>
      </c>
    </row>
    <row r="34" spans="1:20" ht="16" thickBot="1" x14ac:dyDescent="0.25">
      <c r="A34" s="43">
        <v>46234</v>
      </c>
      <c r="B34" s="8"/>
      <c r="C34" s="134"/>
      <c r="D34" s="2"/>
      <c r="E34" s="6"/>
      <c r="F34" s="134"/>
      <c r="G34" s="2"/>
      <c r="H34" s="8"/>
      <c r="I34" s="134"/>
      <c r="J34" s="4"/>
      <c r="K34" s="6"/>
      <c r="L34" s="134"/>
      <c r="M34" s="2"/>
      <c r="N34" s="8"/>
      <c r="O34" s="134"/>
      <c r="P34" s="4"/>
      <c r="Q34" s="6"/>
      <c r="R34" s="134"/>
      <c r="S34" s="2"/>
      <c r="T34" s="138">
        <f t="shared" si="0"/>
        <v>0</v>
      </c>
    </row>
    <row r="35" spans="1:20" ht="16" thickBot="1" x14ac:dyDescent="0.25">
      <c r="A35" s="41" t="s">
        <v>51</v>
      </c>
      <c r="B35" s="255">
        <f>SUM(C4:C34)</f>
        <v>0</v>
      </c>
      <c r="C35" s="256"/>
      <c r="D35" s="257"/>
      <c r="E35" s="255">
        <f>SUM(F4:F34)</f>
        <v>0</v>
      </c>
      <c r="F35" s="256"/>
      <c r="G35" s="257"/>
      <c r="H35" s="255">
        <f>SUM(I4:I34)</f>
        <v>0</v>
      </c>
      <c r="I35" s="256"/>
      <c r="J35" s="257"/>
      <c r="K35" s="255">
        <f>SUM(L4:L34)</f>
        <v>0</v>
      </c>
      <c r="L35" s="256"/>
      <c r="M35" s="257"/>
      <c r="N35" s="255">
        <f>SUM(O4:O34)</f>
        <v>0</v>
      </c>
      <c r="O35" s="256"/>
      <c r="P35" s="257"/>
      <c r="Q35" s="255">
        <f>SUM(R4:R34)</f>
        <v>0</v>
      </c>
      <c r="R35" s="256"/>
      <c r="S35" s="257"/>
      <c r="T35" s="238">
        <f>SUM(T4:T34)</f>
        <v>0</v>
      </c>
    </row>
    <row r="36" spans="1:20" ht="17" thickBot="1" x14ac:dyDescent="0.25">
      <c r="B36" s="253" t="s">
        <v>11</v>
      </c>
      <c r="C36" s="254"/>
      <c r="D36" s="254"/>
      <c r="E36" s="254"/>
      <c r="F36" s="254"/>
      <c r="G36" s="254"/>
      <c r="H36" s="254"/>
      <c r="I36" s="254"/>
      <c r="J36" s="254"/>
      <c r="K36" s="254"/>
      <c r="L36" s="254"/>
      <c r="M36" s="254"/>
      <c r="N36" s="254"/>
      <c r="O36" s="254"/>
      <c r="P36" s="254"/>
      <c r="Q36" s="254"/>
      <c r="R36" s="254"/>
      <c r="S36" s="258"/>
      <c r="T36" s="239"/>
    </row>
  </sheetData>
  <mergeCells count="17">
    <mergeCell ref="A1:A3"/>
    <mergeCell ref="B1:S1"/>
    <mergeCell ref="B2:D2"/>
    <mergeCell ref="E2:G2"/>
    <mergeCell ref="H2:J2"/>
    <mergeCell ref="K2:M2"/>
    <mergeCell ref="N2:P2"/>
    <mergeCell ref="Q35:S35"/>
    <mergeCell ref="T35:T36"/>
    <mergeCell ref="B36:S36"/>
    <mergeCell ref="Q2:S2"/>
    <mergeCell ref="T2:T3"/>
    <mergeCell ref="B35:D35"/>
    <mergeCell ref="E35:G35"/>
    <mergeCell ref="H35:J35"/>
    <mergeCell ref="K35:M35"/>
    <mergeCell ref="N35:P35"/>
  </mergeCells>
  <phoneticPr fontId="22" type="noConversion"/>
  <dataValidations count="1">
    <dataValidation type="list" allowBlank="1" showInputMessage="1" showErrorMessage="1" sqref="S4:S34 J4:J34 M4:M34 G4:G34 P4:P34 D4:D34" xr:uid="{81131D3E-BD1A-4083-BEC1-41B66E797560}">
      <formula1>"Booking,Airbnb,Cash,Bank transfer"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D5C16879-16EA-0A4B-BAE2-1661A7FB5C71}">
            <x14:iconSet custom="1">
              <x14:cfvo type="percent">
                <xm:f>0</xm:f>
              </x14:cfvo>
              <x14:cfvo type="num">
                <xm:f>17000</xm:f>
              </x14:cfvo>
              <x14:cfvo type="num" gte="0">
                <xm:f>17000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B35 H35 N35</xm:sqref>
        </x14:conditionalFormatting>
        <x14:conditionalFormatting xmlns:xm="http://schemas.microsoft.com/office/excel/2006/main">
          <x14:cfRule type="iconSet" priority="2" id="{DDC76003-97DB-A548-B593-CEDAB7A24285}">
            <x14:iconSet custom="1">
              <x14:cfvo type="percent">
                <xm:f>0</xm:f>
              </x14:cfvo>
              <x14:cfvo type="num">
                <xm:f>14000</xm:f>
              </x14:cfvo>
              <x14:cfvo type="num" gte="0">
                <xm:f>14000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E35 K35 Q35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092BD-406C-4822-90FA-40CA22C6068F}">
  <sheetPr codeName="Feuil12"/>
  <dimension ref="A1:T36"/>
  <sheetViews>
    <sheetView showGridLines="0" zoomScaleNormal="100" workbookViewId="0">
      <selection activeCell="A4" sqref="A4:A34"/>
    </sheetView>
  </sheetViews>
  <sheetFormatPr baseColWidth="10" defaultColWidth="10.83203125" defaultRowHeight="15" x14ac:dyDescent="0.2"/>
  <cols>
    <col min="2" max="2" width="18.83203125" customWidth="1"/>
    <col min="3" max="3" width="13.1640625" bestFit="1" customWidth="1"/>
    <col min="5" max="5" width="18.83203125" customWidth="1"/>
    <col min="6" max="6" width="13.1640625" bestFit="1" customWidth="1"/>
    <col min="8" max="8" width="18.83203125" customWidth="1"/>
    <col min="9" max="9" width="13.1640625" bestFit="1" customWidth="1"/>
    <col min="11" max="11" width="18.83203125" customWidth="1"/>
    <col min="12" max="12" width="13.33203125" bestFit="1" customWidth="1"/>
    <col min="14" max="14" width="18.83203125" customWidth="1"/>
    <col min="15" max="15" width="13.1640625" bestFit="1" customWidth="1"/>
    <col min="16" max="16" width="12.6640625" customWidth="1"/>
    <col min="17" max="17" width="18.83203125" customWidth="1"/>
    <col min="18" max="18" width="13.1640625" bestFit="1" customWidth="1"/>
    <col min="20" max="20" width="21" customWidth="1"/>
  </cols>
  <sheetData>
    <row r="1" spans="1:20" ht="30" thickBot="1" x14ac:dyDescent="0.4">
      <c r="A1" s="250" t="s">
        <v>0</v>
      </c>
      <c r="B1" s="248" t="s">
        <v>9</v>
      </c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</row>
    <row r="2" spans="1:20" ht="19" x14ac:dyDescent="0.2">
      <c r="A2" s="251"/>
      <c r="B2" s="245" t="s">
        <v>4</v>
      </c>
      <c r="C2" s="246"/>
      <c r="D2" s="247"/>
      <c r="E2" s="245" t="s">
        <v>5</v>
      </c>
      <c r="F2" s="246"/>
      <c r="G2" s="247"/>
      <c r="H2" s="245" t="s">
        <v>6</v>
      </c>
      <c r="I2" s="246"/>
      <c r="J2" s="247"/>
      <c r="K2" s="245" t="s">
        <v>7</v>
      </c>
      <c r="L2" s="246"/>
      <c r="M2" s="247"/>
      <c r="N2" s="245" t="s">
        <v>8</v>
      </c>
      <c r="O2" s="246"/>
      <c r="P2" s="247"/>
      <c r="Q2" s="245" t="s">
        <v>105</v>
      </c>
      <c r="R2" s="246"/>
      <c r="S2" s="247"/>
      <c r="T2" s="240" t="s">
        <v>10</v>
      </c>
    </row>
    <row r="3" spans="1:20" ht="20" thickBot="1" x14ac:dyDescent="0.25">
      <c r="A3" s="252"/>
      <c r="B3" s="16" t="s">
        <v>1</v>
      </c>
      <c r="C3" s="17" t="s">
        <v>2</v>
      </c>
      <c r="D3" s="18" t="s">
        <v>3</v>
      </c>
      <c r="E3" s="16" t="s">
        <v>1</v>
      </c>
      <c r="F3" s="17" t="s">
        <v>2</v>
      </c>
      <c r="G3" s="18" t="s">
        <v>3</v>
      </c>
      <c r="H3" s="16" t="s">
        <v>1</v>
      </c>
      <c r="I3" s="17" t="s">
        <v>2</v>
      </c>
      <c r="J3" s="18" t="s">
        <v>3</v>
      </c>
      <c r="K3" s="16" t="s">
        <v>1</v>
      </c>
      <c r="L3" s="17" t="s">
        <v>2</v>
      </c>
      <c r="M3" s="18" t="s">
        <v>3</v>
      </c>
      <c r="N3" s="16" t="s">
        <v>1</v>
      </c>
      <c r="O3" s="17" t="s">
        <v>2</v>
      </c>
      <c r="P3" s="18" t="s">
        <v>3</v>
      </c>
      <c r="Q3" s="16" t="s">
        <v>1</v>
      </c>
      <c r="R3" s="17" t="s">
        <v>2</v>
      </c>
      <c r="S3" s="18" t="s">
        <v>3</v>
      </c>
      <c r="T3" s="241"/>
    </row>
    <row r="4" spans="1:20" ht="16" thickBot="1" x14ac:dyDescent="0.25">
      <c r="A4" s="43">
        <v>46235</v>
      </c>
      <c r="B4" s="123"/>
      <c r="C4" s="134"/>
      <c r="D4" s="2"/>
      <c r="E4" s="124"/>
      <c r="F4" s="133"/>
      <c r="G4" s="2"/>
      <c r="H4" s="123"/>
      <c r="I4" s="133"/>
      <c r="J4" s="4"/>
      <c r="K4" s="6"/>
      <c r="L4" s="134"/>
      <c r="M4" s="2"/>
      <c r="N4" s="8"/>
      <c r="O4" s="134"/>
      <c r="P4" s="4"/>
      <c r="Q4" s="141"/>
      <c r="R4" s="133"/>
      <c r="S4" s="33"/>
      <c r="T4" s="138">
        <f>C4+F4+I4+L4+O4+R4</f>
        <v>0</v>
      </c>
    </row>
    <row r="5" spans="1:20" ht="16" thickBot="1" x14ac:dyDescent="0.25">
      <c r="A5" s="43">
        <v>46236</v>
      </c>
      <c r="B5" s="123"/>
      <c r="C5" s="134"/>
      <c r="D5" s="2"/>
      <c r="E5" s="124"/>
      <c r="F5" s="133"/>
      <c r="G5" s="2"/>
      <c r="H5" s="123"/>
      <c r="I5" s="133"/>
      <c r="J5" s="4"/>
      <c r="K5" s="6"/>
      <c r="L5" s="134"/>
      <c r="M5" s="2"/>
      <c r="N5" s="8"/>
      <c r="O5" s="134"/>
      <c r="P5" s="4"/>
      <c r="Q5" s="141"/>
      <c r="R5" s="133"/>
      <c r="S5" s="33"/>
      <c r="T5" s="138">
        <f t="shared" ref="T5:T34" si="0">C5+F5+I5+L5+O5+R5</f>
        <v>0</v>
      </c>
    </row>
    <row r="6" spans="1:20" ht="16" thickBot="1" x14ac:dyDescent="0.25">
      <c r="A6" s="43">
        <v>46237</v>
      </c>
      <c r="B6" s="123"/>
      <c r="C6" s="134"/>
      <c r="D6" s="2"/>
      <c r="E6" s="124"/>
      <c r="F6" s="133"/>
      <c r="G6" s="2"/>
      <c r="H6" s="123"/>
      <c r="I6" s="133"/>
      <c r="J6" s="4"/>
      <c r="K6" s="6"/>
      <c r="L6" s="134"/>
      <c r="M6" s="2"/>
      <c r="N6" s="8"/>
      <c r="O6" s="134"/>
      <c r="P6" s="4"/>
      <c r="Q6" s="141"/>
      <c r="R6" s="133"/>
      <c r="S6" s="33"/>
      <c r="T6" s="138">
        <f t="shared" si="0"/>
        <v>0</v>
      </c>
    </row>
    <row r="7" spans="1:20" ht="16" thickBot="1" x14ac:dyDescent="0.25">
      <c r="A7" s="43">
        <v>46238</v>
      </c>
      <c r="B7" s="123"/>
      <c r="C7" s="134"/>
      <c r="D7" s="2"/>
      <c r="E7" s="124"/>
      <c r="F7" s="133"/>
      <c r="G7" s="2"/>
      <c r="H7" s="123"/>
      <c r="I7" s="133"/>
      <c r="J7" s="4"/>
      <c r="K7" s="6"/>
      <c r="L7" s="134"/>
      <c r="M7" s="2"/>
      <c r="N7" s="8"/>
      <c r="O7" s="134"/>
      <c r="P7" s="4"/>
      <c r="Q7" s="141"/>
      <c r="R7" s="133"/>
      <c r="S7" s="33"/>
      <c r="T7" s="138">
        <f t="shared" si="0"/>
        <v>0</v>
      </c>
    </row>
    <row r="8" spans="1:20" ht="16" thickBot="1" x14ac:dyDescent="0.25">
      <c r="A8" s="43">
        <v>46239</v>
      </c>
      <c r="B8" s="123"/>
      <c r="C8" s="134"/>
      <c r="D8" s="2"/>
      <c r="E8" s="124"/>
      <c r="F8" s="133"/>
      <c r="G8" s="2"/>
      <c r="H8" s="123"/>
      <c r="I8" s="133"/>
      <c r="J8" s="4"/>
      <c r="K8" s="6"/>
      <c r="L8" s="134"/>
      <c r="M8" s="2"/>
      <c r="N8" s="8"/>
      <c r="O8" s="134"/>
      <c r="P8" s="4"/>
      <c r="Q8" s="141"/>
      <c r="R8" s="133"/>
      <c r="S8" s="33"/>
      <c r="T8" s="138">
        <f t="shared" si="0"/>
        <v>0</v>
      </c>
    </row>
    <row r="9" spans="1:20" ht="16" thickBot="1" x14ac:dyDescent="0.25">
      <c r="A9" s="43">
        <v>46240</v>
      </c>
      <c r="B9" s="123"/>
      <c r="C9" s="134"/>
      <c r="D9" s="2"/>
      <c r="E9" s="124"/>
      <c r="F9" s="133"/>
      <c r="G9" s="2"/>
      <c r="H9" s="123"/>
      <c r="I9" s="133"/>
      <c r="J9" s="4"/>
      <c r="K9" s="6"/>
      <c r="L9" s="134"/>
      <c r="M9" s="2"/>
      <c r="N9" s="8"/>
      <c r="O9" s="134"/>
      <c r="P9" s="4"/>
      <c r="Q9" s="141"/>
      <c r="R9" s="133"/>
      <c r="S9" s="33"/>
      <c r="T9" s="138">
        <f t="shared" si="0"/>
        <v>0</v>
      </c>
    </row>
    <row r="10" spans="1:20" ht="16" thickBot="1" x14ac:dyDescent="0.25">
      <c r="A10" s="43">
        <v>46241</v>
      </c>
      <c r="B10" s="123"/>
      <c r="C10" s="134"/>
      <c r="D10" s="2"/>
      <c r="E10" s="124"/>
      <c r="F10" s="133"/>
      <c r="G10" s="2"/>
      <c r="H10" s="123"/>
      <c r="I10" s="133"/>
      <c r="J10" s="4"/>
      <c r="K10" s="6"/>
      <c r="L10" s="134"/>
      <c r="M10" s="2"/>
      <c r="N10" s="8"/>
      <c r="O10" s="134"/>
      <c r="P10" s="4"/>
      <c r="Q10" s="141"/>
      <c r="R10" s="133"/>
      <c r="S10" s="33"/>
      <c r="T10" s="138">
        <f t="shared" si="0"/>
        <v>0</v>
      </c>
    </row>
    <row r="11" spans="1:20" ht="16" thickBot="1" x14ac:dyDescent="0.25">
      <c r="A11" s="43">
        <v>46242</v>
      </c>
      <c r="B11" s="123"/>
      <c r="C11" s="134"/>
      <c r="D11" s="2"/>
      <c r="E11" s="124"/>
      <c r="F11" s="133"/>
      <c r="G11" s="2"/>
      <c r="H11" s="123"/>
      <c r="I11" s="133"/>
      <c r="J11" s="4"/>
      <c r="K11" s="6"/>
      <c r="L11" s="134"/>
      <c r="M11" s="2"/>
      <c r="N11" s="8"/>
      <c r="O11" s="134"/>
      <c r="P11" s="4"/>
      <c r="Q11" s="141"/>
      <c r="R11" s="133"/>
      <c r="S11" s="33"/>
      <c r="T11" s="138">
        <f t="shared" si="0"/>
        <v>0</v>
      </c>
    </row>
    <row r="12" spans="1:20" ht="16" thickBot="1" x14ac:dyDescent="0.25">
      <c r="A12" s="43">
        <v>46243</v>
      </c>
      <c r="B12" s="123"/>
      <c r="C12" s="134"/>
      <c r="D12" s="2"/>
      <c r="E12" s="124"/>
      <c r="F12" s="133"/>
      <c r="G12" s="2"/>
      <c r="H12" s="123"/>
      <c r="I12" s="133"/>
      <c r="J12" s="4"/>
      <c r="K12" s="6"/>
      <c r="L12" s="134"/>
      <c r="M12" s="2"/>
      <c r="N12" s="8"/>
      <c r="O12" s="134"/>
      <c r="P12" s="4"/>
      <c r="Q12" s="141"/>
      <c r="R12" s="133"/>
      <c r="S12" s="33"/>
      <c r="T12" s="138">
        <f t="shared" si="0"/>
        <v>0</v>
      </c>
    </row>
    <row r="13" spans="1:20" ht="16" thickBot="1" x14ac:dyDescent="0.25">
      <c r="A13" s="43">
        <v>46244</v>
      </c>
      <c r="B13" s="123"/>
      <c r="C13" s="134"/>
      <c r="D13" s="2"/>
      <c r="E13" s="124"/>
      <c r="F13" s="133"/>
      <c r="G13" s="2"/>
      <c r="H13" s="123"/>
      <c r="I13" s="133"/>
      <c r="J13" s="4"/>
      <c r="K13" s="6"/>
      <c r="L13" s="134"/>
      <c r="M13" s="2"/>
      <c r="N13" s="8"/>
      <c r="O13" s="134"/>
      <c r="P13" s="4"/>
      <c r="Q13" s="141"/>
      <c r="R13" s="133"/>
      <c r="S13" s="33"/>
      <c r="T13" s="138">
        <f t="shared" si="0"/>
        <v>0</v>
      </c>
    </row>
    <row r="14" spans="1:20" ht="16" thickBot="1" x14ac:dyDescent="0.25">
      <c r="A14" s="43">
        <v>46245</v>
      </c>
      <c r="B14" s="123"/>
      <c r="C14" s="134"/>
      <c r="D14" s="2"/>
      <c r="E14" s="124"/>
      <c r="F14" s="133"/>
      <c r="G14" s="2"/>
      <c r="H14" s="123"/>
      <c r="I14" s="133"/>
      <c r="J14" s="4"/>
      <c r="K14" s="6"/>
      <c r="L14" s="134"/>
      <c r="M14" s="2"/>
      <c r="N14" s="8"/>
      <c r="O14" s="134"/>
      <c r="P14" s="4"/>
      <c r="Q14" s="141"/>
      <c r="R14" s="133"/>
      <c r="S14" s="33"/>
      <c r="T14" s="138">
        <f t="shared" si="0"/>
        <v>0</v>
      </c>
    </row>
    <row r="15" spans="1:20" ht="16" thickBot="1" x14ac:dyDescent="0.25">
      <c r="A15" s="43">
        <v>46246</v>
      </c>
      <c r="B15" s="123"/>
      <c r="C15" s="134"/>
      <c r="D15" s="2"/>
      <c r="E15" s="124"/>
      <c r="F15" s="133"/>
      <c r="G15" s="2"/>
      <c r="H15" s="123"/>
      <c r="I15" s="133"/>
      <c r="J15" s="4"/>
      <c r="K15" s="6"/>
      <c r="L15" s="134"/>
      <c r="M15" s="2"/>
      <c r="N15" s="8"/>
      <c r="O15" s="134"/>
      <c r="P15" s="4"/>
      <c r="Q15" s="141"/>
      <c r="R15" s="133"/>
      <c r="S15" s="33"/>
      <c r="T15" s="138">
        <f t="shared" si="0"/>
        <v>0</v>
      </c>
    </row>
    <row r="16" spans="1:20" ht="16" thickBot="1" x14ac:dyDescent="0.25">
      <c r="A16" s="43">
        <v>46247</v>
      </c>
      <c r="B16" s="123"/>
      <c r="C16" s="134"/>
      <c r="D16" s="2"/>
      <c r="E16" s="124"/>
      <c r="F16" s="133"/>
      <c r="G16" s="2"/>
      <c r="H16" s="123"/>
      <c r="I16" s="133"/>
      <c r="J16" s="4"/>
      <c r="K16" s="6"/>
      <c r="L16" s="134"/>
      <c r="M16" s="2"/>
      <c r="N16" s="8"/>
      <c r="O16" s="134"/>
      <c r="P16" s="4"/>
      <c r="Q16" s="141"/>
      <c r="R16" s="133"/>
      <c r="S16" s="33"/>
      <c r="T16" s="138">
        <f t="shared" si="0"/>
        <v>0</v>
      </c>
    </row>
    <row r="17" spans="1:20" ht="16" thickBot="1" x14ac:dyDescent="0.25">
      <c r="A17" s="43">
        <v>46248</v>
      </c>
      <c r="B17" s="123"/>
      <c r="C17" s="134"/>
      <c r="D17" s="2"/>
      <c r="E17" s="124"/>
      <c r="F17" s="133"/>
      <c r="G17" s="2"/>
      <c r="H17" s="123"/>
      <c r="I17" s="133"/>
      <c r="J17" s="4"/>
      <c r="K17" s="6"/>
      <c r="L17" s="134"/>
      <c r="M17" s="2"/>
      <c r="N17" s="8"/>
      <c r="O17" s="134"/>
      <c r="P17" s="4"/>
      <c r="Q17" s="141"/>
      <c r="R17" s="133"/>
      <c r="S17" s="33"/>
      <c r="T17" s="138">
        <f t="shared" si="0"/>
        <v>0</v>
      </c>
    </row>
    <row r="18" spans="1:20" ht="16" thickBot="1" x14ac:dyDescent="0.25">
      <c r="A18" s="43">
        <v>46249</v>
      </c>
      <c r="B18" s="123"/>
      <c r="C18" s="134"/>
      <c r="D18" s="2"/>
      <c r="E18" s="124"/>
      <c r="F18" s="133"/>
      <c r="G18" s="2"/>
      <c r="H18" s="123"/>
      <c r="I18" s="133"/>
      <c r="J18" s="4"/>
      <c r="K18" s="6"/>
      <c r="L18" s="134"/>
      <c r="M18" s="2"/>
      <c r="N18" s="8"/>
      <c r="O18" s="134"/>
      <c r="P18" s="4"/>
      <c r="Q18" s="141"/>
      <c r="R18" s="133"/>
      <c r="S18" s="33"/>
      <c r="T18" s="138">
        <f t="shared" si="0"/>
        <v>0</v>
      </c>
    </row>
    <row r="19" spans="1:20" ht="16" thickBot="1" x14ac:dyDescent="0.25">
      <c r="A19" s="43">
        <v>46250</v>
      </c>
      <c r="B19" s="123"/>
      <c r="C19" s="134"/>
      <c r="D19" s="2"/>
      <c r="E19" s="124"/>
      <c r="F19" s="133"/>
      <c r="G19" s="2"/>
      <c r="H19" s="123"/>
      <c r="I19" s="133"/>
      <c r="J19" s="4"/>
      <c r="K19" s="6"/>
      <c r="L19" s="134"/>
      <c r="M19" s="2"/>
      <c r="N19" s="8"/>
      <c r="O19" s="134"/>
      <c r="P19" s="4"/>
      <c r="Q19" s="141"/>
      <c r="R19" s="133"/>
      <c r="S19" s="33"/>
      <c r="T19" s="138">
        <f t="shared" si="0"/>
        <v>0</v>
      </c>
    </row>
    <row r="20" spans="1:20" ht="16" thickBot="1" x14ac:dyDescent="0.25">
      <c r="A20" s="43">
        <v>46251</v>
      </c>
      <c r="B20" s="123"/>
      <c r="C20" s="134"/>
      <c r="D20" s="2"/>
      <c r="E20" s="124"/>
      <c r="F20" s="133"/>
      <c r="G20" s="2"/>
      <c r="H20" s="123"/>
      <c r="I20" s="133"/>
      <c r="J20" s="4"/>
      <c r="K20" s="6"/>
      <c r="L20" s="134"/>
      <c r="M20" s="2"/>
      <c r="N20" s="8"/>
      <c r="O20" s="134"/>
      <c r="P20" s="4"/>
      <c r="Q20" s="141"/>
      <c r="R20" s="133"/>
      <c r="S20" s="33"/>
      <c r="T20" s="138">
        <f t="shared" si="0"/>
        <v>0</v>
      </c>
    </row>
    <row r="21" spans="1:20" ht="16" thickBot="1" x14ac:dyDescent="0.25">
      <c r="A21" s="43">
        <v>46252</v>
      </c>
      <c r="B21" s="123"/>
      <c r="C21" s="134"/>
      <c r="D21" s="2"/>
      <c r="E21" s="124"/>
      <c r="F21" s="133"/>
      <c r="G21" s="2"/>
      <c r="H21" s="123"/>
      <c r="I21" s="133"/>
      <c r="J21" s="4"/>
      <c r="K21" s="6"/>
      <c r="L21" s="134"/>
      <c r="M21" s="2"/>
      <c r="N21" s="8"/>
      <c r="O21" s="134"/>
      <c r="P21" s="4"/>
      <c r="Q21" s="141"/>
      <c r="R21" s="133"/>
      <c r="S21" s="33"/>
      <c r="T21" s="138">
        <f t="shared" si="0"/>
        <v>0</v>
      </c>
    </row>
    <row r="22" spans="1:20" ht="16" thickBot="1" x14ac:dyDescent="0.25">
      <c r="A22" s="43">
        <v>46253</v>
      </c>
      <c r="B22" s="123"/>
      <c r="C22" s="134"/>
      <c r="D22" s="2"/>
      <c r="E22" s="124"/>
      <c r="F22" s="133"/>
      <c r="G22" s="2"/>
      <c r="H22" s="123"/>
      <c r="I22" s="133"/>
      <c r="J22" s="4"/>
      <c r="K22" s="6"/>
      <c r="L22" s="134"/>
      <c r="M22" s="2"/>
      <c r="N22" s="8"/>
      <c r="O22" s="134"/>
      <c r="P22" s="4"/>
      <c r="Q22" s="141"/>
      <c r="R22" s="133"/>
      <c r="S22" s="33"/>
      <c r="T22" s="138">
        <f t="shared" si="0"/>
        <v>0</v>
      </c>
    </row>
    <row r="23" spans="1:20" ht="16" thickBot="1" x14ac:dyDescent="0.25">
      <c r="A23" s="43">
        <v>46254</v>
      </c>
      <c r="B23" s="123"/>
      <c r="C23" s="134"/>
      <c r="D23" s="2"/>
      <c r="E23" s="124"/>
      <c r="F23" s="133"/>
      <c r="G23" s="2"/>
      <c r="H23" s="123"/>
      <c r="I23" s="133"/>
      <c r="J23" s="4"/>
      <c r="K23" s="6"/>
      <c r="L23" s="134"/>
      <c r="M23" s="2"/>
      <c r="N23" s="8"/>
      <c r="O23" s="134"/>
      <c r="P23" s="4"/>
      <c r="Q23" s="141"/>
      <c r="R23" s="133"/>
      <c r="S23" s="33"/>
      <c r="T23" s="138">
        <f t="shared" si="0"/>
        <v>0</v>
      </c>
    </row>
    <row r="24" spans="1:20" ht="16" thickBot="1" x14ac:dyDescent="0.25">
      <c r="A24" s="43">
        <v>46255</v>
      </c>
      <c r="B24" s="123"/>
      <c r="C24" s="134"/>
      <c r="D24" s="2"/>
      <c r="E24" s="124"/>
      <c r="F24" s="133"/>
      <c r="G24" s="2"/>
      <c r="H24" s="123"/>
      <c r="I24" s="133"/>
      <c r="J24" s="4"/>
      <c r="K24" s="6"/>
      <c r="L24" s="134"/>
      <c r="M24" s="2"/>
      <c r="N24" s="8"/>
      <c r="O24" s="134"/>
      <c r="P24" s="4"/>
      <c r="Q24" s="141"/>
      <c r="R24" s="133"/>
      <c r="S24" s="33"/>
      <c r="T24" s="138">
        <f t="shared" si="0"/>
        <v>0</v>
      </c>
    </row>
    <row r="25" spans="1:20" ht="16" thickBot="1" x14ac:dyDescent="0.25">
      <c r="A25" s="43">
        <v>46256</v>
      </c>
      <c r="B25" s="123"/>
      <c r="C25" s="134"/>
      <c r="D25" s="2"/>
      <c r="E25" s="124"/>
      <c r="F25" s="133"/>
      <c r="G25" s="2"/>
      <c r="H25" s="123"/>
      <c r="I25" s="133"/>
      <c r="J25" s="4"/>
      <c r="K25" s="6"/>
      <c r="L25" s="134"/>
      <c r="M25" s="2"/>
      <c r="N25" s="8"/>
      <c r="O25" s="134"/>
      <c r="P25" s="4"/>
      <c r="Q25" s="141"/>
      <c r="R25" s="133"/>
      <c r="S25" s="33"/>
      <c r="T25" s="138">
        <f t="shared" si="0"/>
        <v>0</v>
      </c>
    </row>
    <row r="26" spans="1:20" ht="16" thickBot="1" x14ac:dyDescent="0.25">
      <c r="A26" s="43">
        <v>46257</v>
      </c>
      <c r="B26" s="123"/>
      <c r="C26" s="134"/>
      <c r="D26" s="2"/>
      <c r="E26" s="124"/>
      <c r="F26" s="133"/>
      <c r="G26" s="2"/>
      <c r="H26" s="123"/>
      <c r="I26" s="133"/>
      <c r="J26" s="4"/>
      <c r="K26" s="6"/>
      <c r="L26" s="134"/>
      <c r="M26" s="2"/>
      <c r="N26" s="8"/>
      <c r="O26" s="134"/>
      <c r="P26" s="4"/>
      <c r="Q26" s="141"/>
      <c r="R26" s="133"/>
      <c r="S26" s="33"/>
      <c r="T26" s="138">
        <f t="shared" si="0"/>
        <v>0</v>
      </c>
    </row>
    <row r="27" spans="1:20" ht="16" thickBot="1" x14ac:dyDescent="0.25">
      <c r="A27" s="43">
        <v>46258</v>
      </c>
      <c r="B27" s="123"/>
      <c r="C27" s="134"/>
      <c r="D27" s="2"/>
      <c r="E27" s="124"/>
      <c r="F27" s="133"/>
      <c r="G27" s="2"/>
      <c r="H27" s="123"/>
      <c r="I27" s="133"/>
      <c r="J27" s="4"/>
      <c r="K27" s="6"/>
      <c r="L27" s="134"/>
      <c r="M27" s="2"/>
      <c r="N27" s="8"/>
      <c r="O27" s="134"/>
      <c r="P27" s="4"/>
      <c r="Q27" s="141"/>
      <c r="R27" s="133"/>
      <c r="S27" s="33"/>
      <c r="T27" s="138">
        <f t="shared" si="0"/>
        <v>0</v>
      </c>
    </row>
    <row r="28" spans="1:20" ht="16" thickBot="1" x14ac:dyDescent="0.25">
      <c r="A28" s="43">
        <v>46259</v>
      </c>
      <c r="B28" s="123"/>
      <c r="C28" s="134"/>
      <c r="D28" s="2"/>
      <c r="E28" s="124"/>
      <c r="F28" s="133"/>
      <c r="G28" s="2"/>
      <c r="H28" s="123"/>
      <c r="I28" s="133"/>
      <c r="J28" s="4"/>
      <c r="K28" s="6"/>
      <c r="L28" s="134"/>
      <c r="M28" s="2"/>
      <c r="N28" s="8"/>
      <c r="O28" s="134"/>
      <c r="P28" s="4"/>
      <c r="Q28" s="141"/>
      <c r="R28" s="133"/>
      <c r="S28" s="33"/>
      <c r="T28" s="138">
        <f t="shared" si="0"/>
        <v>0</v>
      </c>
    </row>
    <row r="29" spans="1:20" ht="16" thickBot="1" x14ac:dyDescent="0.25">
      <c r="A29" s="43">
        <v>46260</v>
      </c>
      <c r="B29" s="123"/>
      <c r="C29" s="134"/>
      <c r="D29" s="2"/>
      <c r="E29" s="124"/>
      <c r="F29" s="133"/>
      <c r="G29" s="2"/>
      <c r="H29" s="123"/>
      <c r="I29" s="133"/>
      <c r="J29" s="4"/>
      <c r="K29" s="6"/>
      <c r="L29" s="134"/>
      <c r="M29" s="2"/>
      <c r="N29" s="8"/>
      <c r="O29" s="134"/>
      <c r="P29" s="4"/>
      <c r="Q29" s="141"/>
      <c r="R29" s="133"/>
      <c r="S29" s="33"/>
      <c r="T29" s="138">
        <f t="shared" si="0"/>
        <v>0</v>
      </c>
    </row>
    <row r="30" spans="1:20" ht="16" thickBot="1" x14ac:dyDescent="0.25">
      <c r="A30" s="43">
        <v>46261</v>
      </c>
      <c r="B30" s="123"/>
      <c r="C30" s="134"/>
      <c r="D30" s="2"/>
      <c r="E30" s="124"/>
      <c r="F30" s="133"/>
      <c r="G30" s="2"/>
      <c r="H30" s="123"/>
      <c r="I30" s="133"/>
      <c r="J30" s="4"/>
      <c r="K30" s="6"/>
      <c r="L30" s="134"/>
      <c r="M30" s="2"/>
      <c r="N30" s="8"/>
      <c r="O30" s="134"/>
      <c r="P30" s="4"/>
      <c r="Q30" s="141"/>
      <c r="R30" s="133"/>
      <c r="S30" s="33"/>
      <c r="T30" s="138">
        <f t="shared" si="0"/>
        <v>0</v>
      </c>
    </row>
    <row r="31" spans="1:20" ht="16" thickBot="1" x14ac:dyDescent="0.25">
      <c r="A31" s="43">
        <v>46262</v>
      </c>
      <c r="B31" s="123"/>
      <c r="C31" s="134"/>
      <c r="D31" s="2"/>
      <c r="E31" s="124"/>
      <c r="F31" s="133"/>
      <c r="G31" s="2"/>
      <c r="H31" s="123"/>
      <c r="I31" s="133"/>
      <c r="J31" s="4"/>
      <c r="K31" s="6"/>
      <c r="L31" s="134"/>
      <c r="M31" s="2"/>
      <c r="N31" s="8"/>
      <c r="O31" s="134"/>
      <c r="P31" s="4"/>
      <c r="Q31" s="141"/>
      <c r="R31" s="133"/>
      <c r="S31" s="33"/>
      <c r="T31" s="138">
        <f t="shared" si="0"/>
        <v>0</v>
      </c>
    </row>
    <row r="32" spans="1:20" ht="16" thickBot="1" x14ac:dyDescent="0.25">
      <c r="A32" s="43">
        <v>46263</v>
      </c>
      <c r="B32" s="123"/>
      <c r="C32" s="134"/>
      <c r="D32" s="2"/>
      <c r="E32" s="124"/>
      <c r="F32" s="133"/>
      <c r="G32" s="2"/>
      <c r="H32" s="123"/>
      <c r="I32" s="133"/>
      <c r="J32" s="4"/>
      <c r="K32" s="6"/>
      <c r="L32" s="134"/>
      <c r="M32" s="2"/>
      <c r="N32" s="8"/>
      <c r="O32" s="134"/>
      <c r="P32" s="4"/>
      <c r="Q32" s="141"/>
      <c r="R32" s="133"/>
      <c r="S32" s="33"/>
      <c r="T32" s="138">
        <f t="shared" si="0"/>
        <v>0</v>
      </c>
    </row>
    <row r="33" spans="1:20" ht="16" thickBot="1" x14ac:dyDescent="0.25">
      <c r="A33" s="43">
        <v>46264</v>
      </c>
      <c r="B33" s="123"/>
      <c r="C33" s="134"/>
      <c r="D33" s="2"/>
      <c r="E33" s="124"/>
      <c r="F33" s="133"/>
      <c r="G33" s="2"/>
      <c r="H33" s="123"/>
      <c r="I33" s="133"/>
      <c r="J33" s="4"/>
      <c r="K33" s="6"/>
      <c r="L33" s="134"/>
      <c r="M33" s="2"/>
      <c r="N33" s="8"/>
      <c r="O33" s="134"/>
      <c r="P33" s="4"/>
      <c r="Q33" s="141"/>
      <c r="R33" s="133"/>
      <c r="S33" s="33"/>
      <c r="T33" s="138">
        <f t="shared" si="0"/>
        <v>0</v>
      </c>
    </row>
    <row r="34" spans="1:20" ht="16" thickBot="1" x14ac:dyDescent="0.25">
      <c r="A34" s="43">
        <v>46265</v>
      </c>
      <c r="B34" s="123"/>
      <c r="C34" s="134"/>
      <c r="D34" s="2"/>
      <c r="E34" s="124"/>
      <c r="F34" s="133"/>
      <c r="G34" s="2"/>
      <c r="H34" s="123"/>
      <c r="I34" s="133"/>
      <c r="J34" s="4"/>
      <c r="K34" s="124"/>
      <c r="L34" s="134"/>
      <c r="M34" s="2"/>
      <c r="N34" s="8"/>
      <c r="O34" s="134"/>
      <c r="P34" s="4"/>
      <c r="Q34" s="142"/>
      <c r="R34" s="143"/>
      <c r="S34" s="144"/>
      <c r="T34" s="138">
        <f t="shared" si="0"/>
        <v>0</v>
      </c>
    </row>
    <row r="35" spans="1:20" ht="16" thickBot="1" x14ac:dyDescent="0.25">
      <c r="A35" s="41" t="s">
        <v>51</v>
      </c>
      <c r="B35" s="255">
        <f>SUM(C4:C34)</f>
        <v>0</v>
      </c>
      <c r="C35" s="256"/>
      <c r="D35" s="257"/>
      <c r="E35" s="255">
        <f>SUM(F4:F34)</f>
        <v>0</v>
      </c>
      <c r="F35" s="256"/>
      <c r="G35" s="257"/>
      <c r="H35" s="255">
        <f>SUM(I4:I34)</f>
        <v>0</v>
      </c>
      <c r="I35" s="256"/>
      <c r="J35" s="257"/>
      <c r="K35" s="255">
        <f>SUM(L4:L34)</f>
        <v>0</v>
      </c>
      <c r="L35" s="256"/>
      <c r="M35" s="257"/>
      <c r="N35" s="255">
        <f>SUM(O4:O34)</f>
        <v>0</v>
      </c>
      <c r="O35" s="256"/>
      <c r="P35" s="257"/>
      <c r="Q35" s="255">
        <f>SUM(R4:R34)</f>
        <v>0</v>
      </c>
      <c r="R35" s="256"/>
      <c r="S35" s="257"/>
      <c r="T35" s="238">
        <f>SUM(T4:T34)</f>
        <v>0</v>
      </c>
    </row>
    <row r="36" spans="1:20" ht="17" thickBot="1" x14ac:dyDescent="0.25">
      <c r="B36" s="253" t="s">
        <v>11</v>
      </c>
      <c r="C36" s="254"/>
      <c r="D36" s="254"/>
      <c r="E36" s="254"/>
      <c r="F36" s="254"/>
      <c r="G36" s="254"/>
      <c r="H36" s="254"/>
      <c r="I36" s="254"/>
      <c r="J36" s="254"/>
      <c r="K36" s="254"/>
      <c r="L36" s="254"/>
      <c r="M36" s="254"/>
      <c r="N36" s="254"/>
      <c r="O36" s="254"/>
      <c r="P36" s="254"/>
      <c r="Q36" s="254"/>
      <c r="R36" s="254"/>
      <c r="S36" s="258"/>
      <c r="T36" s="239"/>
    </row>
  </sheetData>
  <mergeCells count="17">
    <mergeCell ref="A1:A3"/>
    <mergeCell ref="B1:S1"/>
    <mergeCell ref="B2:D2"/>
    <mergeCell ref="E2:G2"/>
    <mergeCell ref="H2:J2"/>
    <mergeCell ref="K2:M2"/>
    <mergeCell ref="N2:P2"/>
    <mergeCell ref="Q35:S35"/>
    <mergeCell ref="T35:T36"/>
    <mergeCell ref="B36:S36"/>
    <mergeCell ref="Q2:S2"/>
    <mergeCell ref="T2:T3"/>
    <mergeCell ref="B35:D35"/>
    <mergeCell ref="E35:G35"/>
    <mergeCell ref="H35:J35"/>
    <mergeCell ref="K35:M35"/>
    <mergeCell ref="N35:P35"/>
  </mergeCells>
  <dataValidations count="1">
    <dataValidation type="list" allowBlank="1" showInputMessage="1" showErrorMessage="1" sqref="M4:M34 J4:J34 S4:S34 P4:P34 G4:G34 D4:D34" xr:uid="{7263797A-3FA6-4D4B-8A6A-95CD0DE0863C}">
      <formula1>"Booking,Airbnb,Cash,Bank transfer"</formula1>
    </dataValidation>
  </dataValidation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CE2DBB5-37ED-F74C-BD78-73C05C5AE4A6}">
            <x14:iconSet custom="1">
              <x14:cfvo type="percent">
                <xm:f>0</xm:f>
              </x14:cfvo>
              <x14:cfvo type="num">
                <xm:f>17000</xm:f>
              </x14:cfvo>
              <x14:cfvo type="num" gte="0">
                <xm:f>17000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B35 H35 N35</xm:sqref>
        </x14:conditionalFormatting>
        <x14:conditionalFormatting xmlns:xm="http://schemas.microsoft.com/office/excel/2006/main">
          <x14:cfRule type="iconSet" priority="2" id="{AD93086B-090E-C548-896D-B05437E83372}">
            <x14:iconSet custom="1">
              <x14:cfvo type="percent">
                <xm:f>0</xm:f>
              </x14:cfvo>
              <x14:cfvo type="num">
                <xm:f>14000</xm:f>
              </x14:cfvo>
              <x14:cfvo type="num" gte="0">
                <xm:f>14000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E35 K35 Q35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FC7D8-77A4-C143-A0D5-BE9CC51D8179}">
  <sheetPr codeName="Feuil13"/>
  <dimension ref="A1:T37"/>
  <sheetViews>
    <sheetView showGridLines="0" zoomScale="75" workbookViewId="0">
      <selection activeCell="A4" sqref="A4:A33"/>
    </sheetView>
  </sheetViews>
  <sheetFormatPr baseColWidth="10" defaultColWidth="10.83203125" defaultRowHeight="15" x14ac:dyDescent="0.2"/>
  <cols>
    <col min="2" max="2" width="18.83203125" customWidth="1"/>
    <col min="3" max="3" width="14.5" bestFit="1" customWidth="1"/>
    <col min="5" max="5" width="18.83203125" customWidth="1"/>
    <col min="6" max="6" width="14.5" bestFit="1" customWidth="1"/>
    <col min="8" max="8" width="18.83203125" customWidth="1"/>
    <col min="9" max="9" width="13.1640625" bestFit="1" customWidth="1"/>
    <col min="11" max="11" width="18.83203125" customWidth="1"/>
    <col min="12" max="12" width="14.5" bestFit="1" customWidth="1"/>
    <col min="14" max="14" width="18.83203125" customWidth="1"/>
    <col min="15" max="15" width="14.5" bestFit="1" customWidth="1"/>
    <col min="16" max="16" width="12.6640625" customWidth="1"/>
    <col min="17" max="17" width="18.83203125" customWidth="1"/>
    <col min="18" max="18" width="14.5" bestFit="1" customWidth="1"/>
    <col min="20" max="20" width="21" customWidth="1"/>
  </cols>
  <sheetData>
    <row r="1" spans="1:20" ht="30" thickBot="1" x14ac:dyDescent="0.4">
      <c r="A1" s="250" t="s">
        <v>0</v>
      </c>
      <c r="B1" s="248" t="s">
        <v>9</v>
      </c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</row>
    <row r="2" spans="1:20" ht="19" x14ac:dyDescent="0.2">
      <c r="A2" s="251"/>
      <c r="B2" s="245" t="s">
        <v>4</v>
      </c>
      <c r="C2" s="246"/>
      <c r="D2" s="247"/>
      <c r="E2" s="245" t="s">
        <v>5</v>
      </c>
      <c r="F2" s="246"/>
      <c r="G2" s="247"/>
      <c r="H2" s="245" t="s">
        <v>6</v>
      </c>
      <c r="I2" s="246"/>
      <c r="J2" s="247"/>
      <c r="K2" s="245" t="s">
        <v>7</v>
      </c>
      <c r="L2" s="246"/>
      <c r="M2" s="247"/>
      <c r="N2" s="245" t="s">
        <v>8</v>
      </c>
      <c r="O2" s="246"/>
      <c r="P2" s="247"/>
      <c r="Q2" s="245" t="s">
        <v>105</v>
      </c>
      <c r="R2" s="246"/>
      <c r="S2" s="247"/>
      <c r="T2" s="240" t="s">
        <v>10</v>
      </c>
    </row>
    <row r="3" spans="1:20" ht="20" thickBot="1" x14ac:dyDescent="0.25">
      <c r="A3" s="252"/>
      <c r="B3" s="16" t="s">
        <v>1</v>
      </c>
      <c r="C3" s="17" t="s">
        <v>2</v>
      </c>
      <c r="D3" s="18" t="s">
        <v>3</v>
      </c>
      <c r="E3" s="16" t="s">
        <v>1</v>
      </c>
      <c r="F3" s="17" t="s">
        <v>2</v>
      </c>
      <c r="G3" s="18" t="s">
        <v>3</v>
      </c>
      <c r="H3" s="16" t="s">
        <v>1</v>
      </c>
      <c r="I3" s="17" t="s">
        <v>2</v>
      </c>
      <c r="J3" s="18" t="s">
        <v>3</v>
      </c>
      <c r="K3" s="16" t="s">
        <v>1</v>
      </c>
      <c r="L3" s="17" t="s">
        <v>2</v>
      </c>
      <c r="M3" s="18" t="s">
        <v>3</v>
      </c>
      <c r="N3" s="16" t="s">
        <v>1</v>
      </c>
      <c r="O3" s="17" t="s">
        <v>2</v>
      </c>
      <c r="P3" s="18" t="s">
        <v>3</v>
      </c>
      <c r="Q3" s="127" t="s">
        <v>1</v>
      </c>
      <c r="R3" s="126" t="s">
        <v>2</v>
      </c>
      <c r="S3" s="128" t="s">
        <v>3</v>
      </c>
      <c r="T3" s="241"/>
    </row>
    <row r="4" spans="1:20" ht="16" thickBot="1" x14ac:dyDescent="0.25">
      <c r="A4" s="43">
        <v>46266</v>
      </c>
      <c r="B4" s="124"/>
      <c r="C4" s="135"/>
      <c r="D4" s="131"/>
      <c r="E4" s="124"/>
      <c r="F4" s="135"/>
      <c r="G4" s="2"/>
      <c r="H4" s="123"/>
      <c r="I4" s="135"/>
      <c r="J4" s="4"/>
      <c r="K4" s="124"/>
      <c r="L4" s="135"/>
      <c r="M4" s="1"/>
      <c r="N4" s="123"/>
      <c r="O4" s="135"/>
      <c r="P4" s="4"/>
      <c r="Q4" s="162"/>
      <c r="R4" s="132"/>
      <c r="S4" s="32"/>
      <c r="T4" s="138">
        <f>C4+F4+I4+L4+O4+R4</f>
        <v>0</v>
      </c>
    </row>
    <row r="5" spans="1:20" ht="16" thickBot="1" x14ac:dyDescent="0.25">
      <c r="A5" s="43">
        <v>46267</v>
      </c>
      <c r="B5" s="124"/>
      <c r="C5" s="135"/>
      <c r="D5" s="2"/>
      <c r="E5" s="124"/>
      <c r="F5" s="135"/>
      <c r="G5" s="2"/>
      <c r="H5" s="123"/>
      <c r="I5" s="135"/>
      <c r="J5" s="4"/>
      <c r="K5" s="124"/>
      <c r="L5" s="135"/>
      <c r="M5" s="1"/>
      <c r="N5" s="123"/>
      <c r="O5" s="135"/>
      <c r="P5" s="4"/>
      <c r="Q5" s="163"/>
      <c r="R5" s="133"/>
      <c r="S5" s="33"/>
      <c r="T5" s="138">
        <f t="shared" ref="T5:T33" si="0">C5+F5+I5+L5+O5+R5</f>
        <v>0</v>
      </c>
    </row>
    <row r="6" spans="1:20" ht="16" thickBot="1" x14ac:dyDescent="0.25">
      <c r="A6" s="43">
        <v>46268</v>
      </c>
      <c r="B6" s="124"/>
      <c r="C6" s="135"/>
      <c r="D6" s="2"/>
      <c r="E6" s="124"/>
      <c r="F6" s="135"/>
      <c r="G6" s="2"/>
      <c r="H6" s="123"/>
      <c r="I6" s="135"/>
      <c r="J6" s="4"/>
      <c r="K6" s="215"/>
      <c r="L6" s="216"/>
      <c r="M6" s="217"/>
      <c r="N6" s="123"/>
      <c r="O6" s="133"/>
      <c r="P6" s="4"/>
      <c r="Q6" s="124"/>
      <c r="R6" s="133"/>
      <c r="S6" s="33"/>
      <c r="T6" s="138">
        <f t="shared" si="0"/>
        <v>0</v>
      </c>
    </row>
    <row r="7" spans="1:20" ht="16" thickBot="1" x14ac:dyDescent="0.25">
      <c r="A7" s="43">
        <v>46269</v>
      </c>
      <c r="B7" s="124"/>
      <c r="C7" s="135"/>
      <c r="D7" s="2"/>
      <c r="E7" s="124"/>
      <c r="F7" s="135"/>
      <c r="G7" s="2"/>
      <c r="H7" s="123"/>
      <c r="I7" s="135"/>
      <c r="J7" s="4"/>
      <c r="K7" s="215"/>
      <c r="L7" s="216"/>
      <c r="M7" s="217"/>
      <c r="N7" s="123"/>
      <c r="O7" s="133"/>
      <c r="P7" s="4"/>
      <c r="Q7" s="124"/>
      <c r="R7" s="133"/>
      <c r="S7" s="33"/>
      <c r="T7" s="138">
        <f t="shared" si="0"/>
        <v>0</v>
      </c>
    </row>
    <row r="8" spans="1:20" ht="16" thickBot="1" x14ac:dyDescent="0.25">
      <c r="A8" s="43">
        <v>46270</v>
      </c>
      <c r="B8" s="124"/>
      <c r="C8" s="135"/>
      <c r="D8" s="2"/>
      <c r="E8" s="124"/>
      <c r="F8" s="135"/>
      <c r="G8" s="2"/>
      <c r="H8" s="123"/>
      <c r="I8" s="135"/>
      <c r="J8" s="4"/>
      <c r="K8" s="124"/>
      <c r="L8" s="135"/>
      <c r="M8" s="2"/>
      <c r="N8" s="123"/>
      <c r="O8" s="133"/>
      <c r="P8" s="4"/>
      <c r="Q8" s="124"/>
      <c r="R8" s="133"/>
      <c r="S8" s="33"/>
      <c r="T8" s="138">
        <f t="shared" si="0"/>
        <v>0</v>
      </c>
    </row>
    <row r="9" spans="1:20" ht="16" thickBot="1" x14ac:dyDescent="0.25">
      <c r="A9" s="43">
        <v>46271</v>
      </c>
      <c r="B9" s="124"/>
      <c r="C9" s="135"/>
      <c r="D9" s="2"/>
      <c r="E9" s="124"/>
      <c r="F9" s="135"/>
      <c r="G9" s="2"/>
      <c r="H9" s="123"/>
      <c r="I9" s="135"/>
      <c r="J9" s="4"/>
      <c r="K9" s="124"/>
      <c r="L9" s="135"/>
      <c r="M9" s="2"/>
      <c r="N9" s="123"/>
      <c r="O9" s="133"/>
      <c r="P9" s="4"/>
      <c r="Q9" s="124"/>
      <c r="R9" s="133"/>
      <c r="S9" s="33"/>
      <c r="T9" s="138">
        <f t="shared" si="0"/>
        <v>0</v>
      </c>
    </row>
    <row r="10" spans="1:20" ht="16" thickBot="1" x14ac:dyDescent="0.25">
      <c r="A10" s="43">
        <v>46272</v>
      </c>
      <c r="B10" s="124"/>
      <c r="C10" s="135"/>
      <c r="D10" s="2"/>
      <c r="E10" s="124"/>
      <c r="F10" s="135"/>
      <c r="G10" s="2"/>
      <c r="H10" s="123"/>
      <c r="I10" s="135"/>
      <c r="J10" s="4"/>
      <c r="K10" s="124"/>
      <c r="L10" s="135"/>
      <c r="M10" s="2"/>
      <c r="N10" s="123"/>
      <c r="O10" s="133"/>
      <c r="P10" s="4"/>
      <c r="Q10" s="124"/>
      <c r="R10" s="133"/>
      <c r="S10" s="33"/>
      <c r="T10" s="138">
        <f t="shared" si="0"/>
        <v>0</v>
      </c>
    </row>
    <row r="11" spans="1:20" ht="16" thickBot="1" x14ac:dyDescent="0.25">
      <c r="A11" s="43">
        <v>46273</v>
      </c>
      <c r="B11" s="124"/>
      <c r="C11" s="135"/>
      <c r="D11" s="2"/>
      <c r="E11" s="124"/>
      <c r="F11" s="135"/>
      <c r="G11" s="2"/>
      <c r="H11" s="123"/>
      <c r="I11" s="135"/>
      <c r="J11" s="4"/>
      <c r="K11" s="124"/>
      <c r="L11" s="135"/>
      <c r="M11" s="2"/>
      <c r="N11" s="123"/>
      <c r="O11" s="133"/>
      <c r="P11" s="4"/>
      <c r="Q11" s="124"/>
      <c r="R11" s="133"/>
      <c r="S11" s="33"/>
      <c r="T11" s="138">
        <f t="shared" si="0"/>
        <v>0</v>
      </c>
    </row>
    <row r="12" spans="1:20" ht="16" thickBot="1" x14ac:dyDescent="0.25">
      <c r="A12" s="43">
        <v>46274</v>
      </c>
      <c r="B12" s="124"/>
      <c r="C12" s="135"/>
      <c r="D12" s="2"/>
      <c r="E12" s="124"/>
      <c r="F12" s="135"/>
      <c r="G12" s="2"/>
      <c r="H12" s="123"/>
      <c r="I12" s="135"/>
      <c r="J12" s="4"/>
      <c r="K12" s="124"/>
      <c r="L12" s="135"/>
      <c r="M12" s="2"/>
      <c r="N12" s="123"/>
      <c r="O12" s="133"/>
      <c r="P12" s="4"/>
      <c r="Q12" s="124"/>
      <c r="R12" s="133"/>
      <c r="S12" s="33"/>
      <c r="T12" s="138">
        <f t="shared" si="0"/>
        <v>0</v>
      </c>
    </row>
    <row r="13" spans="1:20" ht="16" thickBot="1" x14ac:dyDescent="0.25">
      <c r="A13" s="43">
        <v>46275</v>
      </c>
      <c r="B13" s="124"/>
      <c r="C13" s="135"/>
      <c r="D13" s="2"/>
      <c r="E13" s="124"/>
      <c r="F13" s="135"/>
      <c r="G13" s="2"/>
      <c r="H13" s="123"/>
      <c r="I13" s="135"/>
      <c r="J13" s="4"/>
      <c r="K13" s="124"/>
      <c r="L13" s="135"/>
      <c r="M13" s="2"/>
      <c r="N13" s="123"/>
      <c r="O13" s="133"/>
      <c r="P13" s="4"/>
      <c r="Q13" s="124"/>
      <c r="R13" s="133"/>
      <c r="S13" s="33"/>
      <c r="T13" s="138">
        <f t="shared" si="0"/>
        <v>0</v>
      </c>
    </row>
    <row r="14" spans="1:20" ht="16" thickBot="1" x14ac:dyDescent="0.25">
      <c r="A14" s="43">
        <v>46276</v>
      </c>
      <c r="B14" s="124"/>
      <c r="C14" s="135"/>
      <c r="D14" s="2"/>
      <c r="E14" s="124"/>
      <c r="F14" s="135"/>
      <c r="G14" s="2"/>
      <c r="H14" s="123"/>
      <c r="I14" s="135"/>
      <c r="J14" s="4"/>
      <c r="K14" s="124"/>
      <c r="L14" s="135"/>
      <c r="M14" s="2"/>
      <c r="N14" s="123"/>
      <c r="O14" s="133"/>
      <c r="P14" s="4"/>
      <c r="Q14" s="124"/>
      <c r="R14" s="133"/>
      <c r="S14" s="33"/>
      <c r="T14" s="138">
        <f t="shared" si="0"/>
        <v>0</v>
      </c>
    </row>
    <row r="15" spans="1:20" ht="16" thickBot="1" x14ac:dyDescent="0.25">
      <c r="A15" s="43">
        <v>46277</v>
      </c>
      <c r="B15" s="124"/>
      <c r="C15" s="135"/>
      <c r="D15" s="2"/>
      <c r="E15" s="124"/>
      <c r="F15" s="135"/>
      <c r="G15" s="2"/>
      <c r="H15" s="123"/>
      <c r="I15" s="135"/>
      <c r="J15" s="4"/>
      <c r="K15" s="124"/>
      <c r="L15" s="135"/>
      <c r="M15" s="2"/>
      <c r="N15" s="123"/>
      <c r="O15" s="133"/>
      <c r="P15" s="4"/>
      <c r="Q15" s="124"/>
      <c r="R15" s="133"/>
      <c r="S15" s="33"/>
      <c r="T15" s="138">
        <f t="shared" si="0"/>
        <v>0</v>
      </c>
    </row>
    <row r="16" spans="1:20" ht="16" thickBot="1" x14ac:dyDescent="0.25">
      <c r="A16" s="43">
        <v>46278</v>
      </c>
      <c r="B16" s="124"/>
      <c r="C16" s="135"/>
      <c r="D16" s="2"/>
      <c r="E16" s="124"/>
      <c r="F16" s="135"/>
      <c r="G16" s="2"/>
      <c r="H16" s="123"/>
      <c r="I16" s="135"/>
      <c r="J16" s="4"/>
      <c r="K16" s="124"/>
      <c r="L16" s="135"/>
      <c r="M16" s="2"/>
      <c r="N16" s="123"/>
      <c r="O16" s="133"/>
      <c r="P16" s="4"/>
      <c r="Q16" s="124"/>
      <c r="R16" s="133"/>
      <c r="S16" s="33"/>
      <c r="T16" s="138">
        <f t="shared" si="0"/>
        <v>0</v>
      </c>
    </row>
    <row r="17" spans="1:20" ht="16" thickBot="1" x14ac:dyDescent="0.25">
      <c r="A17" s="43">
        <v>46279</v>
      </c>
      <c r="B17" s="124"/>
      <c r="C17" s="135"/>
      <c r="D17" s="2"/>
      <c r="E17" s="124"/>
      <c r="F17" s="135"/>
      <c r="G17" s="2"/>
      <c r="H17" s="123"/>
      <c r="I17" s="135"/>
      <c r="J17" s="4"/>
      <c r="K17" s="124"/>
      <c r="L17" s="135"/>
      <c r="M17" s="2"/>
      <c r="N17" s="123"/>
      <c r="O17" s="133"/>
      <c r="P17" s="4"/>
      <c r="Q17" s="124"/>
      <c r="R17" s="133"/>
      <c r="S17" s="33"/>
      <c r="T17" s="138">
        <f t="shared" si="0"/>
        <v>0</v>
      </c>
    </row>
    <row r="18" spans="1:20" ht="16" thickBot="1" x14ac:dyDescent="0.25">
      <c r="A18" s="43">
        <v>46280</v>
      </c>
      <c r="B18" s="124"/>
      <c r="C18" s="135"/>
      <c r="D18" s="2"/>
      <c r="E18" s="124"/>
      <c r="F18" s="135"/>
      <c r="G18" s="2"/>
      <c r="H18" s="123"/>
      <c r="I18" s="135"/>
      <c r="J18" s="4"/>
      <c r="K18" s="124"/>
      <c r="L18" s="135"/>
      <c r="M18" s="2"/>
      <c r="N18" s="123"/>
      <c r="O18" s="133"/>
      <c r="P18" s="4"/>
      <c r="Q18" s="124"/>
      <c r="R18" s="133"/>
      <c r="S18" s="33"/>
      <c r="T18" s="138">
        <f t="shared" si="0"/>
        <v>0</v>
      </c>
    </row>
    <row r="19" spans="1:20" ht="16" thickBot="1" x14ac:dyDescent="0.25">
      <c r="A19" s="43">
        <v>46281</v>
      </c>
      <c r="B19" s="124"/>
      <c r="C19" s="135"/>
      <c r="D19" s="2"/>
      <c r="E19" s="124"/>
      <c r="F19" s="135"/>
      <c r="G19" s="2"/>
      <c r="H19" s="123"/>
      <c r="I19" s="135"/>
      <c r="J19" s="4"/>
      <c r="K19" s="124"/>
      <c r="L19" s="135"/>
      <c r="M19" s="2"/>
      <c r="N19" s="123"/>
      <c r="O19" s="133"/>
      <c r="P19" s="4"/>
      <c r="Q19" s="124"/>
      <c r="R19" s="133"/>
      <c r="S19" s="33"/>
      <c r="T19" s="138">
        <f t="shared" si="0"/>
        <v>0</v>
      </c>
    </row>
    <row r="20" spans="1:20" ht="16" thickBot="1" x14ac:dyDescent="0.25">
      <c r="A20" s="43">
        <v>46282</v>
      </c>
      <c r="B20" s="124"/>
      <c r="C20" s="135"/>
      <c r="D20" s="2"/>
      <c r="E20" s="124"/>
      <c r="F20" s="135"/>
      <c r="G20" s="2"/>
      <c r="H20" s="123"/>
      <c r="I20" s="135"/>
      <c r="J20" s="4"/>
      <c r="K20" s="124"/>
      <c r="L20" s="135"/>
      <c r="M20" s="2"/>
      <c r="N20" s="123"/>
      <c r="O20" s="133"/>
      <c r="P20" s="4"/>
      <c r="Q20" s="124"/>
      <c r="R20" s="133"/>
      <c r="S20" s="33"/>
      <c r="T20" s="138">
        <f t="shared" si="0"/>
        <v>0</v>
      </c>
    </row>
    <row r="21" spans="1:20" ht="16" thickBot="1" x14ac:dyDescent="0.25">
      <c r="A21" s="43">
        <v>46283</v>
      </c>
      <c r="B21" s="124"/>
      <c r="C21" s="135"/>
      <c r="D21" s="2"/>
      <c r="E21" s="124"/>
      <c r="F21" s="135"/>
      <c r="G21" s="2"/>
      <c r="H21" s="123"/>
      <c r="I21" s="135"/>
      <c r="J21" s="4"/>
      <c r="K21" s="124"/>
      <c r="L21" s="135"/>
      <c r="M21" s="2"/>
      <c r="N21" s="123"/>
      <c r="O21" s="133"/>
      <c r="P21" s="4"/>
      <c r="Q21" s="124"/>
      <c r="R21" s="133"/>
      <c r="S21" s="33"/>
      <c r="T21" s="138">
        <f t="shared" si="0"/>
        <v>0</v>
      </c>
    </row>
    <row r="22" spans="1:20" ht="16" thickBot="1" x14ac:dyDescent="0.25">
      <c r="A22" s="43">
        <v>46284</v>
      </c>
      <c r="B22" s="124"/>
      <c r="C22" s="135"/>
      <c r="D22" s="2"/>
      <c r="E22" s="124"/>
      <c r="F22" s="135"/>
      <c r="G22" s="2"/>
      <c r="H22" s="123"/>
      <c r="I22" s="135"/>
      <c r="J22" s="4"/>
      <c r="K22" s="124"/>
      <c r="L22" s="135"/>
      <c r="M22" s="2"/>
      <c r="N22" s="123"/>
      <c r="O22" s="133"/>
      <c r="P22" s="4"/>
      <c r="Q22" s="124"/>
      <c r="R22" s="133"/>
      <c r="S22" s="33"/>
      <c r="T22" s="138">
        <f t="shared" si="0"/>
        <v>0</v>
      </c>
    </row>
    <row r="23" spans="1:20" ht="16" thickBot="1" x14ac:dyDescent="0.25">
      <c r="A23" s="43">
        <v>46285</v>
      </c>
      <c r="B23" s="124"/>
      <c r="C23" s="135"/>
      <c r="D23" s="2"/>
      <c r="E23" s="124"/>
      <c r="F23" s="135"/>
      <c r="G23" s="2"/>
      <c r="H23" s="123"/>
      <c r="I23" s="135"/>
      <c r="J23" s="4"/>
      <c r="K23" s="124"/>
      <c r="L23" s="135"/>
      <c r="M23" s="2"/>
      <c r="N23" s="123"/>
      <c r="O23" s="133"/>
      <c r="P23" s="4"/>
      <c r="Q23" s="124"/>
      <c r="R23" s="133"/>
      <c r="S23" s="33"/>
      <c r="T23" s="138">
        <f t="shared" si="0"/>
        <v>0</v>
      </c>
    </row>
    <row r="24" spans="1:20" ht="16" thickBot="1" x14ac:dyDescent="0.25">
      <c r="A24" s="43">
        <v>46286</v>
      </c>
      <c r="B24" s="124"/>
      <c r="C24" s="135"/>
      <c r="D24" s="2"/>
      <c r="E24" s="124"/>
      <c r="F24" s="135"/>
      <c r="G24" s="2"/>
      <c r="H24" s="123"/>
      <c r="I24" s="135"/>
      <c r="J24" s="4"/>
      <c r="K24" s="124"/>
      <c r="L24" s="135"/>
      <c r="M24" s="2"/>
      <c r="N24" s="123"/>
      <c r="O24" s="133"/>
      <c r="P24" s="4"/>
      <c r="Q24" s="124"/>
      <c r="R24" s="133"/>
      <c r="S24" s="33"/>
      <c r="T24" s="138">
        <f t="shared" si="0"/>
        <v>0</v>
      </c>
    </row>
    <row r="25" spans="1:20" ht="16" thickBot="1" x14ac:dyDescent="0.25">
      <c r="A25" s="43">
        <v>46287</v>
      </c>
      <c r="B25" s="124"/>
      <c r="C25" s="135"/>
      <c r="D25" s="2"/>
      <c r="E25" s="124"/>
      <c r="F25" s="135"/>
      <c r="G25" s="2"/>
      <c r="H25" s="123"/>
      <c r="I25" s="135"/>
      <c r="J25" s="4"/>
      <c r="K25" s="124"/>
      <c r="L25" s="135"/>
      <c r="M25" s="2"/>
      <c r="N25" s="123"/>
      <c r="O25" s="133"/>
      <c r="P25" s="4"/>
      <c r="Q25" s="124"/>
      <c r="R25" s="133"/>
      <c r="S25" s="33"/>
      <c r="T25" s="138">
        <f t="shared" si="0"/>
        <v>0</v>
      </c>
    </row>
    <row r="26" spans="1:20" ht="16" thickBot="1" x14ac:dyDescent="0.25">
      <c r="A26" s="43">
        <v>46288</v>
      </c>
      <c r="B26" s="124"/>
      <c r="C26" s="135"/>
      <c r="D26" s="2"/>
      <c r="E26" s="124"/>
      <c r="F26" s="135"/>
      <c r="G26" s="2"/>
      <c r="H26" s="123"/>
      <c r="I26" s="135"/>
      <c r="J26" s="4"/>
      <c r="K26" s="124"/>
      <c r="L26" s="135"/>
      <c r="M26" s="2"/>
      <c r="N26" s="123"/>
      <c r="O26" s="133"/>
      <c r="P26" s="4"/>
      <c r="Q26" s="124"/>
      <c r="R26" s="133"/>
      <c r="S26" s="33"/>
      <c r="T26" s="138">
        <f t="shared" si="0"/>
        <v>0</v>
      </c>
    </row>
    <row r="27" spans="1:20" ht="16" thickBot="1" x14ac:dyDescent="0.25">
      <c r="A27" s="43">
        <v>46289</v>
      </c>
      <c r="B27" s="124"/>
      <c r="C27" s="135"/>
      <c r="D27" s="2"/>
      <c r="E27" s="124"/>
      <c r="F27" s="135"/>
      <c r="G27" s="2"/>
      <c r="H27" s="123"/>
      <c r="I27" s="133"/>
      <c r="J27" s="4"/>
      <c r="K27" s="124"/>
      <c r="L27" s="135"/>
      <c r="M27" s="2"/>
      <c r="N27" s="123"/>
      <c r="O27" s="133"/>
      <c r="P27" s="4"/>
      <c r="Q27" s="124"/>
      <c r="R27" s="133"/>
      <c r="S27" s="33"/>
      <c r="T27" s="138">
        <f t="shared" si="0"/>
        <v>0</v>
      </c>
    </row>
    <row r="28" spans="1:20" ht="16" thickBot="1" x14ac:dyDescent="0.25">
      <c r="A28" s="43">
        <v>46290</v>
      </c>
      <c r="B28" s="124"/>
      <c r="C28" s="135"/>
      <c r="D28" s="2"/>
      <c r="E28" s="124"/>
      <c r="F28" s="135"/>
      <c r="G28" s="2"/>
      <c r="H28" s="123"/>
      <c r="I28" s="133"/>
      <c r="J28" s="4"/>
      <c r="K28" s="124"/>
      <c r="L28" s="135"/>
      <c r="M28" s="2"/>
      <c r="N28" s="123"/>
      <c r="O28" s="133"/>
      <c r="P28" s="4"/>
      <c r="Q28" s="124"/>
      <c r="R28" s="133"/>
      <c r="S28" s="33"/>
      <c r="T28" s="138">
        <f t="shared" si="0"/>
        <v>0</v>
      </c>
    </row>
    <row r="29" spans="1:20" ht="16" thickBot="1" x14ac:dyDescent="0.25">
      <c r="A29" s="43">
        <v>46291</v>
      </c>
      <c r="B29" s="124"/>
      <c r="C29" s="135"/>
      <c r="D29" s="2"/>
      <c r="E29" s="124"/>
      <c r="F29" s="135"/>
      <c r="G29" s="2"/>
      <c r="H29" s="123"/>
      <c r="I29" s="133"/>
      <c r="J29" s="4"/>
      <c r="K29" s="124"/>
      <c r="L29" s="135"/>
      <c r="M29" s="2"/>
      <c r="N29" s="123"/>
      <c r="O29" s="133"/>
      <c r="P29" s="4"/>
      <c r="Q29" s="141"/>
      <c r="R29" s="133"/>
      <c r="S29" s="33"/>
      <c r="T29" s="138">
        <f t="shared" si="0"/>
        <v>0</v>
      </c>
    </row>
    <row r="30" spans="1:20" ht="16" thickBot="1" x14ac:dyDescent="0.25">
      <c r="A30" s="43">
        <v>46292</v>
      </c>
      <c r="B30" s="124"/>
      <c r="C30" s="135"/>
      <c r="D30" s="2"/>
      <c r="E30" s="123"/>
      <c r="F30" s="135"/>
      <c r="G30" s="2"/>
      <c r="H30" s="123"/>
      <c r="I30" s="135"/>
      <c r="J30" s="2"/>
      <c r="K30" s="124"/>
      <c r="L30" s="135"/>
      <c r="M30" s="2"/>
      <c r="N30" s="8"/>
      <c r="O30" s="134"/>
      <c r="P30" s="4"/>
      <c r="Q30" s="141"/>
      <c r="R30" s="133"/>
      <c r="S30" s="33"/>
      <c r="T30" s="138">
        <f t="shared" si="0"/>
        <v>0</v>
      </c>
    </row>
    <row r="31" spans="1:20" ht="16" thickBot="1" x14ac:dyDescent="0.25">
      <c r="A31" s="43">
        <v>46293</v>
      </c>
      <c r="B31" s="124"/>
      <c r="C31" s="135"/>
      <c r="D31" s="2"/>
      <c r="E31" s="123"/>
      <c r="F31" s="135"/>
      <c r="G31" s="2"/>
      <c r="H31" s="123"/>
      <c r="I31" s="135"/>
      <c r="J31" s="2"/>
      <c r="K31" s="124"/>
      <c r="L31" s="135"/>
      <c r="M31" s="2"/>
      <c r="N31" s="8"/>
      <c r="O31" s="134"/>
      <c r="P31" s="4"/>
      <c r="Q31" s="141"/>
      <c r="R31" s="133"/>
      <c r="S31" s="33"/>
      <c r="T31" s="138">
        <f t="shared" si="0"/>
        <v>0</v>
      </c>
    </row>
    <row r="32" spans="1:20" ht="16" thickBot="1" x14ac:dyDescent="0.25">
      <c r="A32" s="43">
        <v>46294</v>
      </c>
      <c r="B32" s="124"/>
      <c r="C32" s="135"/>
      <c r="D32" s="2"/>
      <c r="E32" s="123"/>
      <c r="F32" s="135"/>
      <c r="G32" s="2"/>
      <c r="H32" s="123"/>
      <c r="I32" s="135"/>
      <c r="J32" s="2"/>
      <c r="K32" s="124"/>
      <c r="L32" s="135"/>
      <c r="M32" s="2"/>
      <c r="N32" s="8"/>
      <c r="O32" s="134"/>
      <c r="P32" s="4"/>
      <c r="Q32" s="141"/>
      <c r="R32" s="133"/>
      <c r="S32" s="33"/>
      <c r="T32" s="138">
        <f t="shared" si="0"/>
        <v>0</v>
      </c>
    </row>
    <row r="33" spans="1:20" ht="16" thickBot="1" x14ac:dyDescent="0.25">
      <c r="A33" s="43">
        <v>46295</v>
      </c>
      <c r="B33" s="124"/>
      <c r="C33" s="135"/>
      <c r="D33" s="2"/>
      <c r="E33" s="123"/>
      <c r="F33" s="135"/>
      <c r="G33" s="2"/>
      <c r="H33" s="123"/>
      <c r="I33" s="135"/>
      <c r="J33" s="2"/>
      <c r="K33" s="124"/>
      <c r="L33" s="135"/>
      <c r="M33" s="2"/>
      <c r="N33" s="8"/>
      <c r="O33" s="134"/>
      <c r="P33" s="4"/>
      <c r="Q33" s="142"/>
      <c r="R33" s="143"/>
      <c r="S33" s="144"/>
      <c r="T33" s="138">
        <f t="shared" si="0"/>
        <v>0</v>
      </c>
    </row>
    <row r="34" spans="1:20" ht="16" thickBot="1" x14ac:dyDescent="0.25">
      <c r="A34" s="41" t="s">
        <v>51</v>
      </c>
      <c r="B34" s="255">
        <f>SUM(C4:C33)</f>
        <v>0</v>
      </c>
      <c r="C34" s="256"/>
      <c r="D34" s="257"/>
      <c r="E34" s="255">
        <f>SUM(F4:F33)</f>
        <v>0</v>
      </c>
      <c r="F34" s="256"/>
      <c r="G34" s="257"/>
      <c r="H34" s="255">
        <f>SUM(I4:I33)</f>
        <v>0</v>
      </c>
      <c r="I34" s="256"/>
      <c r="J34" s="257"/>
      <c r="K34" s="255">
        <f>SUM(L4:L33)</f>
        <v>0</v>
      </c>
      <c r="L34" s="256"/>
      <c r="M34" s="257"/>
      <c r="N34" s="255">
        <f>SUM(O4:O33)</f>
        <v>0</v>
      </c>
      <c r="O34" s="256"/>
      <c r="P34" s="257"/>
      <c r="Q34" s="255">
        <f>SUM(R4:R33)</f>
        <v>0</v>
      </c>
      <c r="R34" s="256"/>
      <c r="S34" s="257"/>
      <c r="T34" s="238">
        <f>SUM(T4:T33)</f>
        <v>0</v>
      </c>
    </row>
    <row r="35" spans="1:20" ht="17" thickBot="1" x14ac:dyDescent="0.25">
      <c r="B35" s="253" t="s">
        <v>11</v>
      </c>
      <c r="C35" s="254"/>
      <c r="D35" s="254"/>
      <c r="E35" s="254"/>
      <c r="F35" s="254"/>
      <c r="G35" s="254"/>
      <c r="H35" s="254"/>
      <c r="I35" s="254"/>
      <c r="J35" s="254"/>
      <c r="K35" s="254"/>
      <c r="L35" s="254"/>
      <c r="M35" s="254"/>
      <c r="N35" s="254"/>
      <c r="O35" s="254"/>
      <c r="P35" s="254"/>
      <c r="Q35" s="254"/>
      <c r="R35" s="254"/>
      <c r="S35" s="258"/>
      <c r="T35" s="239"/>
    </row>
    <row r="36" spans="1:20" x14ac:dyDescent="0.2">
      <c r="L36" s="224"/>
      <c r="R36" s="225"/>
    </row>
    <row r="37" spans="1:20" x14ac:dyDescent="0.2">
      <c r="C37" s="177"/>
      <c r="I37" s="177"/>
      <c r="L37" s="177"/>
      <c r="O37" s="177"/>
      <c r="R37" s="177"/>
    </row>
  </sheetData>
  <mergeCells count="17">
    <mergeCell ref="Q34:S34"/>
    <mergeCell ref="T34:T35"/>
    <mergeCell ref="B35:S35"/>
    <mergeCell ref="Q2:S2"/>
    <mergeCell ref="T2:T3"/>
    <mergeCell ref="B34:D34"/>
    <mergeCell ref="E34:G34"/>
    <mergeCell ref="H34:J34"/>
    <mergeCell ref="K34:M34"/>
    <mergeCell ref="N34:P34"/>
    <mergeCell ref="A1:A3"/>
    <mergeCell ref="B1:S1"/>
    <mergeCell ref="B2:D2"/>
    <mergeCell ref="E2:G2"/>
    <mergeCell ref="H2:J2"/>
    <mergeCell ref="K2:M2"/>
    <mergeCell ref="N2:P2"/>
  </mergeCells>
  <dataValidations count="1">
    <dataValidation type="list" allowBlank="1" showInputMessage="1" showErrorMessage="1" sqref="M4:M33 P4:P33 J4:J33 D4:D33 G4:G33 S4:S33" xr:uid="{1AB00EBE-D97D-BF4C-A1A4-5BCEADD2A6EE}">
      <formula1>"Booking,Airbnb,Cash,Bank transfer"</formula1>
    </dataValidation>
  </dataValidation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E07C4E0-9807-6743-B914-16FD366618E8}">
            <x14:iconSet custom="1">
              <x14:cfvo type="percent">
                <xm:f>0</xm:f>
              </x14:cfvo>
              <x14:cfvo type="num">
                <xm:f>17000</xm:f>
              </x14:cfvo>
              <x14:cfvo type="num" gte="0">
                <xm:f>17000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B34 H34 N34</xm:sqref>
        </x14:conditionalFormatting>
        <x14:conditionalFormatting xmlns:xm="http://schemas.microsoft.com/office/excel/2006/main">
          <x14:cfRule type="iconSet" priority="2" id="{FEE37C24-F15F-E246-8223-FE90EAB16773}">
            <x14:iconSet custom="1">
              <x14:cfvo type="percent">
                <xm:f>0</xm:f>
              </x14:cfvo>
              <x14:cfvo type="num">
                <xm:f>14000</xm:f>
              </x14:cfvo>
              <x14:cfvo type="num" gte="0">
                <xm:f>14000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E34 K34 Q34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895E3-0F16-A24E-8771-3D1DA603D626}">
  <sheetPr codeName="Feuil14"/>
  <dimension ref="A1:T38"/>
  <sheetViews>
    <sheetView showGridLines="0" zoomScale="63" workbookViewId="0">
      <selection activeCell="A4" sqref="A4:A34"/>
    </sheetView>
  </sheetViews>
  <sheetFormatPr baseColWidth="10" defaultColWidth="10.83203125" defaultRowHeight="15" x14ac:dyDescent="0.2"/>
  <cols>
    <col min="2" max="2" width="18.83203125" customWidth="1"/>
    <col min="3" max="3" width="13.1640625" bestFit="1" customWidth="1"/>
    <col min="5" max="5" width="18.83203125" customWidth="1"/>
    <col min="6" max="6" width="14.1640625" bestFit="1" customWidth="1"/>
    <col min="8" max="8" width="18.83203125" customWidth="1"/>
    <col min="9" max="9" width="14.1640625" bestFit="1" customWidth="1"/>
    <col min="11" max="11" width="18.83203125" customWidth="1"/>
    <col min="12" max="12" width="13.33203125" bestFit="1" customWidth="1"/>
    <col min="14" max="14" width="18.83203125" customWidth="1"/>
    <col min="15" max="15" width="13.1640625" bestFit="1" customWidth="1"/>
    <col min="16" max="16" width="12.6640625" customWidth="1"/>
    <col min="17" max="17" width="18.83203125" customWidth="1"/>
    <col min="18" max="18" width="14.1640625" bestFit="1" customWidth="1"/>
    <col min="20" max="20" width="21" customWidth="1"/>
  </cols>
  <sheetData>
    <row r="1" spans="1:20" ht="30" thickBot="1" x14ac:dyDescent="0.4">
      <c r="A1" s="250" t="s">
        <v>0</v>
      </c>
      <c r="B1" s="248" t="s">
        <v>9</v>
      </c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</row>
    <row r="2" spans="1:20" ht="19" x14ac:dyDescent="0.2">
      <c r="A2" s="251"/>
      <c r="B2" s="245" t="s">
        <v>4</v>
      </c>
      <c r="C2" s="246"/>
      <c r="D2" s="247"/>
      <c r="E2" s="245" t="s">
        <v>5</v>
      </c>
      <c r="F2" s="246"/>
      <c r="G2" s="247"/>
      <c r="H2" s="245" t="s">
        <v>6</v>
      </c>
      <c r="I2" s="246"/>
      <c r="J2" s="247"/>
      <c r="K2" s="245" t="s">
        <v>7</v>
      </c>
      <c r="L2" s="246"/>
      <c r="M2" s="247"/>
      <c r="N2" s="245" t="s">
        <v>8</v>
      </c>
      <c r="O2" s="246"/>
      <c r="P2" s="247"/>
      <c r="Q2" s="245" t="s">
        <v>105</v>
      </c>
      <c r="R2" s="246"/>
      <c r="S2" s="247"/>
      <c r="T2" s="240" t="s">
        <v>10</v>
      </c>
    </row>
    <row r="3" spans="1:20" ht="20" thickBot="1" x14ac:dyDescent="0.25">
      <c r="A3" s="252"/>
      <c r="B3" s="16" t="s">
        <v>1</v>
      </c>
      <c r="C3" s="17" t="s">
        <v>2</v>
      </c>
      <c r="D3" s="18" t="s">
        <v>3</v>
      </c>
      <c r="E3" s="16" t="s">
        <v>1</v>
      </c>
      <c r="F3" s="17" t="s">
        <v>2</v>
      </c>
      <c r="G3" s="18" t="s">
        <v>3</v>
      </c>
      <c r="H3" s="16" t="s">
        <v>1</v>
      </c>
      <c r="I3" s="17" t="s">
        <v>2</v>
      </c>
      <c r="J3" s="18" t="s">
        <v>3</v>
      </c>
      <c r="K3" s="16" t="s">
        <v>1</v>
      </c>
      <c r="L3" s="17" t="s">
        <v>2</v>
      </c>
      <c r="M3" s="18" t="s">
        <v>3</v>
      </c>
      <c r="N3" s="16" t="s">
        <v>1</v>
      </c>
      <c r="O3" s="17" t="s">
        <v>2</v>
      </c>
      <c r="P3" s="18" t="s">
        <v>3</v>
      </c>
      <c r="Q3" s="16" t="s">
        <v>1</v>
      </c>
      <c r="R3" s="17" t="s">
        <v>2</v>
      </c>
      <c r="S3" s="18" t="s">
        <v>3</v>
      </c>
      <c r="T3" s="241"/>
    </row>
    <row r="4" spans="1:20" ht="16" thickBot="1" x14ac:dyDescent="0.25">
      <c r="A4" s="43">
        <v>46296</v>
      </c>
      <c r="B4" s="125"/>
      <c r="C4" s="135"/>
      <c r="D4" s="160"/>
      <c r="E4" s="124"/>
      <c r="F4" s="135"/>
      <c r="G4" s="2"/>
      <c r="H4" s="123"/>
      <c r="I4" s="135"/>
      <c r="J4" s="4"/>
      <c r="K4" s="124"/>
      <c r="L4" s="218"/>
      <c r="M4" s="1"/>
      <c r="N4" s="123"/>
      <c r="O4" s="135"/>
      <c r="P4" s="4"/>
      <c r="Q4" s="176"/>
      <c r="R4" s="132"/>
      <c r="S4" s="32"/>
      <c r="T4" s="138">
        <f>C4+F4+I4+L4+O4+R4</f>
        <v>0</v>
      </c>
    </row>
    <row r="5" spans="1:20" ht="16" thickBot="1" x14ac:dyDescent="0.25">
      <c r="A5" s="43">
        <v>46297</v>
      </c>
      <c r="B5" s="123"/>
      <c r="C5" s="133"/>
      <c r="D5" s="160"/>
      <c r="E5" s="124"/>
      <c r="F5" s="133"/>
      <c r="G5" s="2"/>
      <c r="H5" s="123"/>
      <c r="I5" s="133"/>
      <c r="J5" s="4"/>
      <c r="K5" s="124"/>
      <c r="L5" s="137"/>
      <c r="M5" s="2"/>
      <c r="N5" s="123"/>
      <c r="O5" s="135"/>
      <c r="P5" s="4"/>
      <c r="Q5" s="124"/>
      <c r="R5" s="133"/>
      <c r="S5" s="33"/>
      <c r="T5" s="138">
        <f t="shared" ref="T5:T34" si="0">C5+F5+I5+L5+O5+R5</f>
        <v>0</v>
      </c>
    </row>
    <row r="6" spans="1:20" ht="16" thickBot="1" x14ac:dyDescent="0.25">
      <c r="A6" s="43">
        <v>46298</v>
      </c>
      <c r="B6" s="123"/>
      <c r="C6" s="133"/>
      <c r="D6" s="160"/>
      <c r="E6" s="124"/>
      <c r="F6" s="133"/>
      <c r="G6" s="2"/>
      <c r="H6" s="123"/>
      <c r="I6" s="133"/>
      <c r="J6" s="4"/>
      <c r="K6" s="124"/>
      <c r="L6" s="137"/>
      <c r="M6" s="2"/>
      <c r="N6" s="123"/>
      <c r="O6" s="135"/>
      <c r="P6" s="4"/>
      <c r="Q6" s="124"/>
      <c r="R6" s="133"/>
      <c r="S6" s="33"/>
      <c r="T6" s="138">
        <f t="shared" si="0"/>
        <v>0</v>
      </c>
    </row>
    <row r="7" spans="1:20" ht="16" thickBot="1" x14ac:dyDescent="0.25">
      <c r="A7" s="43">
        <v>46299</v>
      </c>
      <c r="B7" s="123"/>
      <c r="C7" s="133"/>
      <c r="D7" s="160"/>
      <c r="E7" s="124"/>
      <c r="F7" s="133"/>
      <c r="G7" s="2"/>
      <c r="H7" s="123"/>
      <c r="I7" s="133"/>
      <c r="J7" s="4"/>
      <c r="K7" s="124"/>
      <c r="L7" s="137"/>
      <c r="M7" s="2"/>
      <c r="N7" s="123"/>
      <c r="O7" s="135"/>
      <c r="P7" s="4"/>
      <c r="Q7" s="124"/>
      <c r="R7" s="133"/>
      <c r="S7" s="33"/>
      <c r="T7" s="138">
        <f t="shared" si="0"/>
        <v>0</v>
      </c>
    </row>
    <row r="8" spans="1:20" ht="16" thickBot="1" x14ac:dyDescent="0.25">
      <c r="A8" s="43">
        <v>46300</v>
      </c>
      <c r="B8" s="123"/>
      <c r="C8" s="133"/>
      <c r="D8" s="160"/>
      <c r="E8" s="124"/>
      <c r="F8" s="133"/>
      <c r="G8" s="2"/>
      <c r="H8" s="123"/>
      <c r="I8" s="133"/>
      <c r="J8" s="4"/>
      <c r="K8" s="124"/>
      <c r="L8" s="137"/>
      <c r="M8" s="2"/>
      <c r="N8" s="123"/>
      <c r="O8" s="135"/>
      <c r="P8" s="4"/>
      <c r="Q8" s="124"/>
      <c r="R8" s="133"/>
      <c r="S8" s="33"/>
      <c r="T8" s="138">
        <f t="shared" si="0"/>
        <v>0</v>
      </c>
    </row>
    <row r="9" spans="1:20" ht="16" thickBot="1" x14ac:dyDescent="0.25">
      <c r="A9" s="43">
        <v>46301</v>
      </c>
      <c r="B9" s="123"/>
      <c r="C9" s="133"/>
      <c r="D9" s="160"/>
      <c r="E9" s="124"/>
      <c r="F9" s="133"/>
      <c r="G9" s="2"/>
      <c r="H9" s="123"/>
      <c r="I9" s="133"/>
      <c r="J9" s="4"/>
      <c r="K9" s="124"/>
      <c r="L9" s="137"/>
      <c r="M9" s="2"/>
      <c r="N9" s="123"/>
      <c r="O9" s="135"/>
      <c r="P9" s="4"/>
      <c r="Q9" s="124"/>
      <c r="R9" s="133"/>
      <c r="S9" s="33"/>
      <c r="T9" s="138">
        <f t="shared" si="0"/>
        <v>0</v>
      </c>
    </row>
    <row r="10" spans="1:20" ht="16" thickBot="1" x14ac:dyDescent="0.25">
      <c r="A10" s="43">
        <v>46302</v>
      </c>
      <c r="B10" s="123"/>
      <c r="C10" s="133"/>
      <c r="D10" s="160"/>
      <c r="E10" s="124"/>
      <c r="F10" s="133"/>
      <c r="G10" s="2"/>
      <c r="H10" s="123"/>
      <c r="I10" s="133"/>
      <c r="J10" s="4"/>
      <c r="K10" s="124"/>
      <c r="L10" s="137"/>
      <c r="M10" s="2"/>
      <c r="N10" s="123"/>
      <c r="O10" s="135"/>
      <c r="P10" s="4"/>
      <c r="Q10" s="124"/>
      <c r="R10" s="133"/>
      <c r="S10" s="33"/>
      <c r="T10" s="138">
        <f t="shared" si="0"/>
        <v>0</v>
      </c>
    </row>
    <row r="11" spans="1:20" ht="16" thickBot="1" x14ac:dyDescent="0.25">
      <c r="A11" s="43">
        <v>46303</v>
      </c>
      <c r="B11" s="123"/>
      <c r="C11" s="133"/>
      <c r="D11" s="160"/>
      <c r="E11" s="124"/>
      <c r="F11" s="133"/>
      <c r="G11" s="2"/>
      <c r="H11" s="123"/>
      <c r="I11" s="133"/>
      <c r="J11" s="4"/>
      <c r="K11" s="124"/>
      <c r="L11" s="137"/>
      <c r="M11" s="2"/>
      <c r="N11" s="123"/>
      <c r="O11" s="135"/>
      <c r="P11" s="4"/>
      <c r="Q11" s="124"/>
      <c r="R11" s="133"/>
      <c r="S11" s="33"/>
      <c r="T11" s="138">
        <f t="shared" si="0"/>
        <v>0</v>
      </c>
    </row>
    <row r="12" spans="1:20" ht="16" thickBot="1" x14ac:dyDescent="0.25">
      <c r="A12" s="43">
        <v>46304</v>
      </c>
      <c r="B12" s="123"/>
      <c r="C12" s="133"/>
      <c r="D12" s="160"/>
      <c r="E12" s="124"/>
      <c r="F12" s="133"/>
      <c r="G12" s="2"/>
      <c r="H12" s="123"/>
      <c r="I12" s="133"/>
      <c r="J12" s="4"/>
      <c r="K12" s="124"/>
      <c r="L12" s="137"/>
      <c r="M12" s="2"/>
      <c r="N12" s="123"/>
      <c r="O12" s="135"/>
      <c r="P12" s="4"/>
      <c r="Q12" s="124"/>
      <c r="R12" s="133"/>
      <c r="S12" s="33"/>
      <c r="T12" s="138">
        <f t="shared" si="0"/>
        <v>0</v>
      </c>
    </row>
    <row r="13" spans="1:20" ht="16" thickBot="1" x14ac:dyDescent="0.25">
      <c r="A13" s="43">
        <v>46305</v>
      </c>
      <c r="B13" s="123"/>
      <c r="C13" s="133"/>
      <c r="D13" s="160"/>
      <c r="E13" s="124"/>
      <c r="F13" s="133"/>
      <c r="G13" s="2"/>
      <c r="H13" s="123"/>
      <c r="I13" s="133"/>
      <c r="J13" s="4"/>
      <c r="K13" s="124"/>
      <c r="L13" s="137"/>
      <c r="M13" s="2"/>
      <c r="N13" s="123"/>
      <c r="O13" s="135"/>
      <c r="P13" s="4"/>
      <c r="Q13" s="124"/>
      <c r="R13" s="133"/>
      <c r="S13" s="33"/>
      <c r="T13" s="138">
        <f t="shared" si="0"/>
        <v>0</v>
      </c>
    </row>
    <row r="14" spans="1:20" ht="16" thickBot="1" x14ac:dyDescent="0.25">
      <c r="A14" s="43">
        <v>46306</v>
      </c>
      <c r="B14" s="123"/>
      <c r="C14" s="133"/>
      <c r="D14" s="160"/>
      <c r="E14" s="124"/>
      <c r="F14" s="133"/>
      <c r="G14" s="2"/>
      <c r="H14" s="123"/>
      <c r="I14" s="133"/>
      <c r="J14" s="4"/>
      <c r="K14" s="124"/>
      <c r="L14" s="137"/>
      <c r="M14" s="2"/>
      <c r="N14" s="123"/>
      <c r="O14" s="135"/>
      <c r="P14" s="4"/>
      <c r="Q14" s="124"/>
      <c r="R14" s="133"/>
      <c r="S14" s="33"/>
      <c r="T14" s="138">
        <f t="shared" si="0"/>
        <v>0</v>
      </c>
    </row>
    <row r="15" spans="1:20" ht="16" thickBot="1" x14ac:dyDescent="0.25">
      <c r="A15" s="43">
        <v>46307</v>
      </c>
      <c r="B15" s="123"/>
      <c r="C15" s="133"/>
      <c r="D15" s="160"/>
      <c r="E15" s="124"/>
      <c r="F15" s="133"/>
      <c r="G15" s="2"/>
      <c r="H15" s="123"/>
      <c r="I15" s="133"/>
      <c r="J15" s="4"/>
      <c r="K15" s="124"/>
      <c r="L15" s="137"/>
      <c r="M15" s="2"/>
      <c r="N15" s="123"/>
      <c r="O15" s="135"/>
      <c r="P15" s="4"/>
      <c r="Q15" s="124"/>
      <c r="R15" s="133"/>
      <c r="S15" s="33"/>
      <c r="T15" s="138">
        <f t="shared" si="0"/>
        <v>0</v>
      </c>
    </row>
    <row r="16" spans="1:20" ht="16" thickBot="1" x14ac:dyDescent="0.25">
      <c r="A16" s="43">
        <v>46308</v>
      </c>
      <c r="B16" s="123"/>
      <c r="C16" s="133"/>
      <c r="D16" s="160"/>
      <c r="E16" s="124"/>
      <c r="F16" s="133"/>
      <c r="G16" s="2"/>
      <c r="H16" s="123"/>
      <c r="I16" s="133"/>
      <c r="J16" s="4"/>
      <c r="K16" s="124"/>
      <c r="L16" s="137"/>
      <c r="M16" s="2"/>
      <c r="N16" s="123"/>
      <c r="O16" s="135"/>
      <c r="P16" s="4"/>
      <c r="Q16" s="124"/>
      <c r="R16" s="133"/>
      <c r="S16" s="33"/>
      <c r="T16" s="138">
        <f t="shared" si="0"/>
        <v>0</v>
      </c>
    </row>
    <row r="17" spans="1:20" ht="16" thickBot="1" x14ac:dyDescent="0.25">
      <c r="A17" s="43">
        <v>46309</v>
      </c>
      <c r="B17" s="123"/>
      <c r="C17" s="133"/>
      <c r="D17" s="160"/>
      <c r="E17" s="124"/>
      <c r="F17" s="133"/>
      <c r="G17" s="2"/>
      <c r="H17" s="123"/>
      <c r="I17" s="133"/>
      <c r="J17" s="4"/>
      <c r="K17" s="124"/>
      <c r="L17" s="137"/>
      <c r="M17" s="2"/>
      <c r="N17" s="123"/>
      <c r="O17" s="135"/>
      <c r="P17" s="4"/>
      <c r="Q17" s="124"/>
      <c r="R17" s="133"/>
      <c r="S17" s="33"/>
      <c r="T17" s="138">
        <f t="shared" si="0"/>
        <v>0</v>
      </c>
    </row>
    <row r="18" spans="1:20" ht="16" thickBot="1" x14ac:dyDescent="0.25">
      <c r="A18" s="43">
        <v>46310</v>
      </c>
      <c r="B18" s="123"/>
      <c r="C18" s="133"/>
      <c r="D18" s="160"/>
      <c r="E18" s="124"/>
      <c r="F18" s="133"/>
      <c r="G18" s="2"/>
      <c r="H18" s="123"/>
      <c r="I18" s="133"/>
      <c r="J18" s="4"/>
      <c r="K18" s="124"/>
      <c r="L18" s="219"/>
      <c r="M18" s="2"/>
      <c r="N18" s="123"/>
      <c r="O18" s="135"/>
      <c r="P18" s="4"/>
      <c r="Q18" s="124"/>
      <c r="R18" s="133"/>
      <c r="S18" s="33"/>
      <c r="T18" s="138">
        <f t="shared" si="0"/>
        <v>0</v>
      </c>
    </row>
    <row r="19" spans="1:20" ht="16" thickBot="1" x14ac:dyDescent="0.25">
      <c r="A19" s="43">
        <v>46311</v>
      </c>
      <c r="B19" s="123"/>
      <c r="C19" s="133"/>
      <c r="D19" s="160"/>
      <c r="E19" s="124"/>
      <c r="F19" s="133"/>
      <c r="G19" s="2"/>
      <c r="H19" s="123"/>
      <c r="I19" s="133"/>
      <c r="J19" s="4"/>
      <c r="K19" s="124"/>
      <c r="L19" s="219"/>
      <c r="M19" s="2"/>
      <c r="N19" s="123"/>
      <c r="O19" s="135"/>
      <c r="P19" s="4"/>
      <c r="Q19" s="124"/>
      <c r="R19" s="133"/>
      <c r="S19" s="33"/>
      <c r="T19" s="138">
        <f t="shared" si="0"/>
        <v>0</v>
      </c>
    </row>
    <row r="20" spans="1:20" ht="16" thickBot="1" x14ac:dyDescent="0.25">
      <c r="A20" s="43">
        <v>46312</v>
      </c>
      <c r="B20" s="123"/>
      <c r="C20" s="133"/>
      <c r="D20" s="160"/>
      <c r="E20" s="124"/>
      <c r="F20" s="133"/>
      <c r="G20" s="2"/>
      <c r="H20" s="123"/>
      <c r="I20" s="133"/>
      <c r="J20" s="4"/>
      <c r="K20" s="124"/>
      <c r="L20" s="219"/>
      <c r="M20" s="2"/>
      <c r="N20" s="123"/>
      <c r="O20" s="135"/>
      <c r="P20" s="4"/>
      <c r="Q20" s="124"/>
      <c r="R20" s="133"/>
      <c r="S20" s="33"/>
      <c r="T20" s="138">
        <f t="shared" si="0"/>
        <v>0</v>
      </c>
    </row>
    <row r="21" spans="1:20" ht="16" thickBot="1" x14ac:dyDescent="0.25">
      <c r="A21" s="43">
        <v>46313</v>
      </c>
      <c r="B21" s="123"/>
      <c r="C21" s="133"/>
      <c r="D21" s="160"/>
      <c r="E21" s="124"/>
      <c r="F21" s="133"/>
      <c r="G21" s="2"/>
      <c r="H21" s="123"/>
      <c r="I21" s="133"/>
      <c r="J21" s="4"/>
      <c r="K21" s="124"/>
      <c r="L21" s="219"/>
      <c r="M21" s="2"/>
      <c r="N21" s="123"/>
      <c r="O21" s="135"/>
      <c r="P21" s="4"/>
      <c r="Q21" s="124"/>
      <c r="R21" s="133"/>
      <c r="S21" s="33"/>
      <c r="T21" s="138">
        <f t="shared" si="0"/>
        <v>0</v>
      </c>
    </row>
    <row r="22" spans="1:20" ht="16" thickBot="1" x14ac:dyDescent="0.25">
      <c r="A22" s="43">
        <v>46314</v>
      </c>
      <c r="B22" s="123"/>
      <c r="C22" s="133"/>
      <c r="D22" s="160"/>
      <c r="E22" s="124"/>
      <c r="F22" s="133"/>
      <c r="G22" s="2"/>
      <c r="H22" s="123"/>
      <c r="I22" s="133"/>
      <c r="J22" s="4"/>
      <c r="K22" s="124"/>
      <c r="L22" s="137"/>
      <c r="M22" s="2"/>
      <c r="N22" s="123"/>
      <c r="O22" s="135"/>
      <c r="P22" s="4"/>
      <c r="Q22" s="124"/>
      <c r="R22" s="133"/>
      <c r="S22" s="33"/>
      <c r="T22" s="138">
        <f t="shared" si="0"/>
        <v>0</v>
      </c>
    </row>
    <row r="23" spans="1:20" ht="16" thickBot="1" x14ac:dyDescent="0.25">
      <c r="A23" s="43">
        <v>46315</v>
      </c>
      <c r="B23" s="123"/>
      <c r="C23" s="133"/>
      <c r="D23" s="160"/>
      <c r="E23" s="124"/>
      <c r="F23" s="133"/>
      <c r="G23" s="2"/>
      <c r="H23" s="123"/>
      <c r="I23" s="133"/>
      <c r="J23" s="4"/>
      <c r="K23" s="124"/>
      <c r="L23" s="137"/>
      <c r="M23" s="2"/>
      <c r="N23" s="220"/>
      <c r="O23" s="216"/>
      <c r="P23" s="221"/>
      <c r="Q23" s="124"/>
      <c r="R23" s="133"/>
      <c r="S23" s="33"/>
      <c r="T23" s="138">
        <f t="shared" si="0"/>
        <v>0</v>
      </c>
    </row>
    <row r="24" spans="1:20" ht="16" thickBot="1" x14ac:dyDescent="0.25">
      <c r="A24" s="43">
        <v>46316</v>
      </c>
      <c r="B24" s="123"/>
      <c r="C24" s="133"/>
      <c r="D24" s="160"/>
      <c r="E24" s="124"/>
      <c r="F24" s="133"/>
      <c r="G24" s="2"/>
      <c r="H24" s="123"/>
      <c r="I24" s="133"/>
      <c r="J24" s="4"/>
      <c r="K24" s="124"/>
      <c r="L24" s="137"/>
      <c r="M24" s="2"/>
      <c r="N24" s="220"/>
      <c r="O24" s="216"/>
      <c r="P24" s="221"/>
      <c r="Q24" s="124"/>
      <c r="R24" s="133"/>
      <c r="S24" s="33"/>
      <c r="T24" s="138">
        <f t="shared" si="0"/>
        <v>0</v>
      </c>
    </row>
    <row r="25" spans="1:20" ht="16" thickBot="1" x14ac:dyDescent="0.25">
      <c r="A25" s="43">
        <v>46317</v>
      </c>
      <c r="B25" s="123"/>
      <c r="C25" s="133"/>
      <c r="D25" s="160"/>
      <c r="E25" s="124"/>
      <c r="F25" s="133"/>
      <c r="G25" s="2"/>
      <c r="H25" s="123"/>
      <c r="I25" s="133"/>
      <c r="J25" s="4"/>
      <c r="K25" s="124"/>
      <c r="L25" s="137"/>
      <c r="M25" s="2"/>
      <c r="N25" s="220"/>
      <c r="O25" s="216"/>
      <c r="P25" s="221"/>
      <c r="Q25" s="124"/>
      <c r="R25" s="133"/>
      <c r="S25" s="33"/>
      <c r="T25" s="138">
        <f t="shared" si="0"/>
        <v>0</v>
      </c>
    </row>
    <row r="26" spans="1:20" ht="16" thickBot="1" x14ac:dyDescent="0.25">
      <c r="A26" s="43">
        <v>46318</v>
      </c>
      <c r="B26" s="123"/>
      <c r="C26" s="133"/>
      <c r="D26" s="160"/>
      <c r="E26" s="124"/>
      <c r="F26" s="133"/>
      <c r="G26" s="2"/>
      <c r="H26" s="123"/>
      <c r="I26" s="133"/>
      <c r="J26" s="4"/>
      <c r="K26" s="124"/>
      <c r="L26" s="137"/>
      <c r="M26" s="2"/>
      <c r="N26" s="123"/>
      <c r="O26" s="135"/>
      <c r="P26" s="4"/>
      <c r="Q26" s="124"/>
      <c r="R26" s="133"/>
      <c r="S26" s="33"/>
      <c r="T26" s="138">
        <f t="shared" si="0"/>
        <v>0</v>
      </c>
    </row>
    <row r="27" spans="1:20" ht="16" thickBot="1" x14ac:dyDescent="0.25">
      <c r="A27" s="43">
        <v>46319</v>
      </c>
      <c r="B27" s="123"/>
      <c r="C27" s="133"/>
      <c r="D27" s="160"/>
      <c r="E27" s="124"/>
      <c r="F27" s="133"/>
      <c r="G27" s="2"/>
      <c r="H27" s="123"/>
      <c r="I27" s="133"/>
      <c r="J27" s="4"/>
      <c r="K27" s="124"/>
      <c r="L27" s="137"/>
      <c r="M27" s="2"/>
      <c r="N27" s="123"/>
      <c r="O27" s="135"/>
      <c r="P27" s="4"/>
      <c r="Q27" s="124"/>
      <c r="R27" s="133"/>
      <c r="S27" s="33"/>
      <c r="T27" s="138">
        <f t="shared" si="0"/>
        <v>0</v>
      </c>
    </row>
    <row r="28" spans="1:20" ht="16" thickBot="1" x14ac:dyDescent="0.25">
      <c r="A28" s="43">
        <v>46320</v>
      </c>
      <c r="B28" s="123"/>
      <c r="C28" s="133"/>
      <c r="D28" s="160"/>
      <c r="E28" s="124"/>
      <c r="F28" s="133"/>
      <c r="G28" s="2"/>
      <c r="H28" s="123"/>
      <c r="I28" s="133"/>
      <c r="J28" s="4"/>
      <c r="K28" s="124"/>
      <c r="L28" s="219"/>
      <c r="M28" s="2"/>
      <c r="N28" s="123"/>
      <c r="O28" s="135"/>
      <c r="P28" s="4"/>
      <c r="Q28" s="124"/>
      <c r="R28" s="133"/>
      <c r="S28" s="33"/>
      <c r="T28" s="138">
        <f t="shared" si="0"/>
        <v>0</v>
      </c>
    </row>
    <row r="29" spans="1:20" ht="16" thickBot="1" x14ac:dyDescent="0.25">
      <c r="A29" s="43">
        <v>46321</v>
      </c>
      <c r="B29" s="123"/>
      <c r="C29" s="133"/>
      <c r="D29" s="160"/>
      <c r="E29" s="124"/>
      <c r="F29" s="133"/>
      <c r="G29" s="2"/>
      <c r="H29" s="123"/>
      <c r="I29" s="133"/>
      <c r="J29" s="4"/>
      <c r="K29" s="124"/>
      <c r="L29" s="219"/>
      <c r="M29" s="2"/>
      <c r="N29" s="123"/>
      <c r="O29" s="135"/>
      <c r="P29" s="4"/>
      <c r="Q29" s="124"/>
      <c r="R29" s="133"/>
      <c r="S29" s="33"/>
      <c r="T29" s="138">
        <f t="shared" si="0"/>
        <v>0</v>
      </c>
    </row>
    <row r="30" spans="1:20" ht="16" thickBot="1" x14ac:dyDescent="0.25">
      <c r="A30" s="43">
        <v>46322</v>
      </c>
      <c r="B30" s="123"/>
      <c r="C30" s="133"/>
      <c r="D30" s="160"/>
      <c r="E30" s="124"/>
      <c r="F30" s="133"/>
      <c r="G30" s="2"/>
      <c r="H30" s="123"/>
      <c r="I30" s="133"/>
      <c r="J30" s="4"/>
      <c r="K30" s="6"/>
      <c r="L30" s="137"/>
      <c r="M30" s="2"/>
      <c r="N30" s="123"/>
      <c r="O30" s="135"/>
      <c r="P30" s="4"/>
      <c r="Q30" s="124"/>
      <c r="R30" s="133"/>
      <c r="S30" s="33"/>
      <c r="T30" s="138">
        <f t="shared" si="0"/>
        <v>0</v>
      </c>
    </row>
    <row r="31" spans="1:20" ht="16" thickBot="1" x14ac:dyDescent="0.25">
      <c r="A31" s="43">
        <v>46323</v>
      </c>
      <c r="B31" s="123"/>
      <c r="C31" s="133"/>
      <c r="D31" s="160"/>
      <c r="E31" s="124"/>
      <c r="F31" s="133"/>
      <c r="G31" s="2"/>
      <c r="H31" s="123"/>
      <c r="I31" s="133"/>
      <c r="J31" s="4"/>
      <c r="K31" s="6"/>
      <c r="L31" s="137"/>
      <c r="M31" s="2"/>
      <c r="N31" s="123"/>
      <c r="O31" s="135"/>
      <c r="P31" s="4"/>
      <c r="Q31" s="124"/>
      <c r="R31" s="133"/>
      <c r="S31" s="33"/>
      <c r="T31" s="138">
        <f t="shared" si="0"/>
        <v>0</v>
      </c>
    </row>
    <row r="32" spans="1:20" ht="16" thickBot="1" x14ac:dyDescent="0.25">
      <c r="A32" s="43">
        <v>46324</v>
      </c>
      <c r="B32" s="123"/>
      <c r="C32" s="133"/>
      <c r="D32" s="160"/>
      <c r="E32" s="124"/>
      <c r="F32" s="133"/>
      <c r="G32" s="2"/>
      <c r="H32" s="123"/>
      <c r="I32" s="133"/>
      <c r="J32" s="4"/>
      <c r="K32" s="6"/>
      <c r="L32" s="137"/>
      <c r="M32" s="2"/>
      <c r="N32" s="123"/>
      <c r="O32" s="135"/>
      <c r="P32" s="4"/>
      <c r="Q32" s="124"/>
      <c r="R32" s="133"/>
      <c r="S32" s="33"/>
      <c r="T32" s="138">
        <f t="shared" si="0"/>
        <v>0</v>
      </c>
    </row>
    <row r="33" spans="1:20" ht="16" thickBot="1" x14ac:dyDescent="0.25">
      <c r="A33" s="43">
        <v>46325</v>
      </c>
      <c r="B33" s="123"/>
      <c r="C33" s="133"/>
      <c r="D33" s="160"/>
      <c r="E33" s="124"/>
      <c r="F33" s="133"/>
      <c r="G33" s="2"/>
      <c r="H33" s="123"/>
      <c r="I33" s="133"/>
      <c r="J33" s="4"/>
      <c r="K33" s="6"/>
      <c r="L33" s="137"/>
      <c r="M33" s="2"/>
      <c r="N33" s="123"/>
      <c r="O33" s="135"/>
      <c r="P33" s="4"/>
      <c r="Q33" s="124"/>
      <c r="R33" s="133"/>
      <c r="S33" s="33"/>
      <c r="T33" s="138">
        <f t="shared" si="0"/>
        <v>0</v>
      </c>
    </row>
    <row r="34" spans="1:20" ht="16" thickBot="1" x14ac:dyDescent="0.25">
      <c r="A34" s="43">
        <v>46326</v>
      </c>
      <c r="B34" s="123"/>
      <c r="C34" s="133"/>
      <c r="D34" s="2"/>
      <c r="E34" s="124"/>
      <c r="F34" s="133"/>
      <c r="G34" s="2"/>
      <c r="H34" s="123"/>
      <c r="I34" s="133"/>
      <c r="J34" s="4"/>
      <c r="K34" s="124"/>
      <c r="L34" s="137"/>
      <c r="M34" s="2"/>
      <c r="N34" s="123"/>
      <c r="O34" s="135"/>
      <c r="P34" s="4"/>
      <c r="Q34" s="142"/>
      <c r="R34" s="143"/>
      <c r="S34" s="144"/>
      <c r="T34" s="138">
        <f t="shared" si="0"/>
        <v>0</v>
      </c>
    </row>
    <row r="35" spans="1:20" ht="16" thickBot="1" x14ac:dyDescent="0.25">
      <c r="A35" s="41" t="s">
        <v>51</v>
      </c>
      <c r="B35" s="255">
        <f>SUM(C4:C34)</f>
        <v>0</v>
      </c>
      <c r="C35" s="256"/>
      <c r="D35" s="257"/>
      <c r="E35" s="255">
        <f>SUM(F4:F34)</f>
        <v>0</v>
      </c>
      <c r="F35" s="256"/>
      <c r="G35" s="257"/>
      <c r="H35" s="255">
        <f>SUM(I4:I34)</f>
        <v>0</v>
      </c>
      <c r="I35" s="256"/>
      <c r="J35" s="257"/>
      <c r="K35" s="255">
        <f>SUM(L4:L34)</f>
        <v>0</v>
      </c>
      <c r="L35" s="256"/>
      <c r="M35" s="257"/>
      <c r="N35" s="255">
        <f>SUM(O4:O34)</f>
        <v>0</v>
      </c>
      <c r="O35" s="256"/>
      <c r="P35" s="257"/>
      <c r="Q35" s="255">
        <f>SUM(R4:R34)</f>
        <v>0</v>
      </c>
      <c r="R35" s="256"/>
      <c r="S35" s="257"/>
      <c r="T35" s="238">
        <f>SUM(T4:T34)</f>
        <v>0</v>
      </c>
    </row>
    <row r="36" spans="1:20" ht="17" thickBot="1" x14ac:dyDescent="0.25">
      <c r="B36" s="253" t="s">
        <v>11</v>
      </c>
      <c r="C36" s="254"/>
      <c r="D36" s="254"/>
      <c r="E36" s="254"/>
      <c r="F36" s="254"/>
      <c r="G36" s="254"/>
      <c r="H36" s="254"/>
      <c r="I36" s="254"/>
      <c r="J36" s="254"/>
      <c r="K36" s="254"/>
      <c r="L36" s="254"/>
      <c r="M36" s="254"/>
      <c r="N36" s="254"/>
      <c r="O36" s="254"/>
      <c r="P36" s="254"/>
      <c r="Q36" s="254"/>
      <c r="R36" s="254"/>
      <c r="S36" s="258"/>
      <c r="T36" s="239"/>
    </row>
    <row r="38" spans="1:20" x14ac:dyDescent="0.2">
      <c r="F38" s="177"/>
      <c r="I38" s="177"/>
      <c r="O38" s="177"/>
      <c r="R38" s="177"/>
    </row>
  </sheetData>
  <mergeCells count="17">
    <mergeCell ref="A1:A3"/>
    <mergeCell ref="B1:S1"/>
    <mergeCell ref="B2:D2"/>
    <mergeCell ref="E2:G2"/>
    <mergeCell ref="H2:J2"/>
    <mergeCell ref="K2:M2"/>
    <mergeCell ref="N2:P2"/>
    <mergeCell ref="Q35:S35"/>
    <mergeCell ref="T35:T36"/>
    <mergeCell ref="B36:S36"/>
    <mergeCell ref="Q2:S2"/>
    <mergeCell ref="T2:T3"/>
    <mergeCell ref="B35:D35"/>
    <mergeCell ref="E35:G35"/>
    <mergeCell ref="H35:J35"/>
    <mergeCell ref="K35:M35"/>
    <mergeCell ref="N35:P35"/>
  </mergeCells>
  <dataValidations count="1">
    <dataValidation type="list" allowBlank="1" showInputMessage="1" showErrorMessage="1" sqref="D4:D34 M4:M34 G4:G34 J4:J34 S4:S34 P4:P34" xr:uid="{E6B1B9D6-670C-874B-A54B-7E38544942B2}">
      <formula1>"Booking,Airbnb,Cash,Bank transfer"</formula1>
    </dataValidation>
  </dataValidation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5A4F219-F29F-6842-A750-F32184BA91D0}">
            <x14:iconSet custom="1">
              <x14:cfvo type="percent">
                <xm:f>0</xm:f>
              </x14:cfvo>
              <x14:cfvo type="num">
                <xm:f>17000</xm:f>
              </x14:cfvo>
              <x14:cfvo type="num" gte="0">
                <xm:f>17000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B35 H35 N35</xm:sqref>
        </x14:conditionalFormatting>
        <x14:conditionalFormatting xmlns:xm="http://schemas.microsoft.com/office/excel/2006/main">
          <x14:cfRule type="iconSet" priority="2" id="{9364A6B0-5196-4549-96CF-3D9417271F09}">
            <x14:iconSet custom="1">
              <x14:cfvo type="percent">
                <xm:f>0</xm:f>
              </x14:cfvo>
              <x14:cfvo type="num">
                <xm:f>14000</xm:f>
              </x14:cfvo>
              <x14:cfvo type="num" gte="0">
                <xm:f>14000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E35 K35 Q35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CF838-C253-2E47-A8B3-146737E7A775}">
  <sheetPr codeName="Feuil15"/>
  <dimension ref="A1:T35"/>
  <sheetViews>
    <sheetView showGridLines="0" zoomScale="75" workbookViewId="0">
      <selection activeCell="A4" sqref="A4:A33"/>
    </sheetView>
  </sheetViews>
  <sheetFormatPr baseColWidth="10" defaultColWidth="10.83203125" defaultRowHeight="15" x14ac:dyDescent="0.2"/>
  <cols>
    <col min="2" max="2" width="18.83203125" customWidth="1"/>
    <col min="3" max="3" width="14.1640625" bestFit="1" customWidth="1"/>
    <col min="5" max="5" width="18.83203125" customWidth="1"/>
    <col min="6" max="6" width="13.1640625" bestFit="1" customWidth="1"/>
    <col min="8" max="8" width="18.83203125" customWidth="1"/>
    <col min="9" max="9" width="13.1640625" bestFit="1" customWidth="1"/>
    <col min="11" max="11" width="18.83203125" customWidth="1"/>
    <col min="12" max="12" width="13.33203125" bestFit="1" customWidth="1"/>
    <col min="14" max="14" width="18.83203125" customWidth="1"/>
    <col min="15" max="15" width="13.1640625" bestFit="1" customWidth="1"/>
    <col min="16" max="16" width="12.6640625" customWidth="1"/>
    <col min="17" max="17" width="18.83203125" customWidth="1"/>
    <col min="18" max="18" width="13.1640625" bestFit="1" customWidth="1"/>
    <col min="20" max="20" width="21" customWidth="1"/>
  </cols>
  <sheetData>
    <row r="1" spans="1:20" ht="30" thickBot="1" x14ac:dyDescent="0.4">
      <c r="A1" s="250" t="s">
        <v>0</v>
      </c>
      <c r="B1" s="248" t="s">
        <v>9</v>
      </c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</row>
    <row r="2" spans="1:20" ht="19" x14ac:dyDescent="0.2">
      <c r="A2" s="251"/>
      <c r="B2" s="245" t="s">
        <v>4</v>
      </c>
      <c r="C2" s="246"/>
      <c r="D2" s="247"/>
      <c r="E2" s="245" t="s">
        <v>5</v>
      </c>
      <c r="F2" s="246"/>
      <c r="G2" s="247"/>
      <c r="H2" s="245" t="s">
        <v>6</v>
      </c>
      <c r="I2" s="246"/>
      <c r="J2" s="247"/>
      <c r="K2" s="245" t="s">
        <v>7</v>
      </c>
      <c r="L2" s="246"/>
      <c r="M2" s="247"/>
      <c r="N2" s="245" t="s">
        <v>8</v>
      </c>
      <c r="O2" s="246"/>
      <c r="P2" s="247"/>
      <c r="Q2" s="245" t="s">
        <v>105</v>
      </c>
      <c r="R2" s="246"/>
      <c r="S2" s="247"/>
      <c r="T2" s="240" t="s">
        <v>10</v>
      </c>
    </row>
    <row r="3" spans="1:20" ht="20" thickBot="1" x14ac:dyDescent="0.25">
      <c r="A3" s="252"/>
      <c r="B3" s="16" t="s">
        <v>1</v>
      </c>
      <c r="C3" s="17" t="s">
        <v>2</v>
      </c>
      <c r="D3" s="18" t="s">
        <v>3</v>
      </c>
      <c r="E3" s="16" t="s">
        <v>1</v>
      </c>
      <c r="F3" s="17" t="s">
        <v>2</v>
      </c>
      <c r="G3" s="18" t="s">
        <v>3</v>
      </c>
      <c r="H3" s="16" t="s">
        <v>1</v>
      </c>
      <c r="I3" s="17" t="s">
        <v>2</v>
      </c>
      <c r="J3" s="18" t="s">
        <v>3</v>
      </c>
      <c r="K3" s="16" t="s">
        <v>1</v>
      </c>
      <c r="L3" s="17" t="s">
        <v>2</v>
      </c>
      <c r="M3" s="18" t="s">
        <v>3</v>
      </c>
      <c r="N3" s="16" t="s">
        <v>1</v>
      </c>
      <c r="O3" s="17" t="s">
        <v>2</v>
      </c>
      <c r="P3" s="18" t="s">
        <v>3</v>
      </c>
      <c r="Q3" s="16" t="s">
        <v>1</v>
      </c>
      <c r="R3" s="17" t="s">
        <v>2</v>
      </c>
      <c r="S3" s="18" t="s">
        <v>3</v>
      </c>
      <c r="T3" s="241"/>
    </row>
    <row r="4" spans="1:20" ht="16" thickBot="1" x14ac:dyDescent="0.25">
      <c r="A4" s="43">
        <v>46327</v>
      </c>
      <c r="B4" s="123"/>
      <c r="C4" s="133"/>
      <c r="D4" s="160"/>
      <c r="E4" s="124"/>
      <c r="F4" s="135"/>
      <c r="G4" s="2"/>
      <c r="H4" s="123"/>
      <c r="I4" s="135"/>
      <c r="J4" s="4"/>
      <c r="K4" s="124"/>
      <c r="L4" s="136"/>
      <c r="M4" s="2"/>
      <c r="N4" s="8"/>
      <c r="O4" s="134"/>
      <c r="P4" s="4"/>
      <c r="Q4" s="161"/>
      <c r="R4" s="132"/>
      <c r="S4" s="32"/>
      <c r="T4" s="138">
        <f>C4+F4+I4+L4+O4+R4</f>
        <v>0</v>
      </c>
    </row>
    <row r="5" spans="1:20" ht="16" thickBot="1" x14ac:dyDescent="0.25">
      <c r="A5" s="43">
        <v>46328</v>
      </c>
      <c r="B5" s="123"/>
      <c r="C5" s="133"/>
      <c r="D5" s="160"/>
      <c r="E5" s="124"/>
      <c r="F5" s="135"/>
      <c r="G5" s="2"/>
      <c r="H5" s="123"/>
      <c r="I5" s="135"/>
      <c r="J5" s="4"/>
      <c r="K5" s="124"/>
      <c r="L5" s="136"/>
      <c r="M5" s="2"/>
      <c r="N5" s="8"/>
      <c r="O5" s="134"/>
      <c r="P5" s="4"/>
      <c r="Q5" s="124"/>
      <c r="R5" s="133"/>
      <c r="S5" s="33"/>
      <c r="T5" s="138">
        <f t="shared" ref="T5:T33" si="0">C5+F5+I5+L5+O5+R5</f>
        <v>0</v>
      </c>
    </row>
    <row r="6" spans="1:20" ht="16" thickBot="1" x14ac:dyDescent="0.25">
      <c r="A6" s="43">
        <v>46329</v>
      </c>
      <c r="B6" s="123"/>
      <c r="C6" s="133"/>
      <c r="D6" s="160"/>
      <c r="E6" s="124"/>
      <c r="F6" s="135"/>
      <c r="G6" s="2"/>
      <c r="H6" s="123"/>
      <c r="I6" s="135"/>
      <c r="J6" s="4"/>
      <c r="K6" s="124"/>
      <c r="L6" s="136"/>
      <c r="M6" s="2"/>
      <c r="N6" s="123"/>
      <c r="O6" s="135"/>
      <c r="P6" s="4"/>
      <c r="Q6" s="124"/>
      <c r="R6" s="133"/>
      <c r="S6" s="33"/>
      <c r="T6" s="138">
        <f t="shared" si="0"/>
        <v>0</v>
      </c>
    </row>
    <row r="7" spans="1:20" ht="16" thickBot="1" x14ac:dyDescent="0.25">
      <c r="A7" s="43">
        <v>46330</v>
      </c>
      <c r="B7" s="123"/>
      <c r="C7" s="133"/>
      <c r="D7" s="160"/>
      <c r="E7" s="124"/>
      <c r="F7" s="135"/>
      <c r="G7" s="2"/>
      <c r="H7" s="123"/>
      <c r="I7" s="135"/>
      <c r="J7" s="4"/>
      <c r="K7" s="124"/>
      <c r="L7" s="136"/>
      <c r="M7" s="2"/>
      <c r="N7" s="123"/>
      <c r="O7" s="135"/>
      <c r="P7" s="4"/>
      <c r="Q7" s="124"/>
      <c r="R7" s="133"/>
      <c r="S7" s="33"/>
      <c r="T7" s="138">
        <f t="shared" si="0"/>
        <v>0</v>
      </c>
    </row>
    <row r="8" spans="1:20" ht="16" thickBot="1" x14ac:dyDescent="0.25">
      <c r="A8" s="43">
        <v>46331</v>
      </c>
      <c r="B8" s="123"/>
      <c r="C8" s="133"/>
      <c r="D8" s="160"/>
      <c r="E8" s="124"/>
      <c r="F8" s="135"/>
      <c r="G8" s="2"/>
      <c r="H8" s="123"/>
      <c r="I8" s="135"/>
      <c r="J8" s="4"/>
      <c r="K8" s="124"/>
      <c r="L8" s="218"/>
      <c r="M8" s="2"/>
      <c r="N8" s="123"/>
      <c r="O8" s="135"/>
      <c r="P8" s="4"/>
      <c r="Q8" s="124"/>
      <c r="R8" s="133"/>
      <c r="S8" s="33"/>
      <c r="T8" s="138">
        <f t="shared" si="0"/>
        <v>0</v>
      </c>
    </row>
    <row r="9" spans="1:20" ht="16" thickBot="1" x14ac:dyDescent="0.25">
      <c r="A9" s="43">
        <v>46332</v>
      </c>
      <c r="B9" s="123"/>
      <c r="C9" s="133"/>
      <c r="D9" s="160"/>
      <c r="E9" s="124"/>
      <c r="F9" s="135"/>
      <c r="G9" s="2"/>
      <c r="H9" s="123"/>
      <c r="I9" s="135"/>
      <c r="J9" s="4"/>
      <c r="K9" s="124"/>
      <c r="L9" s="218"/>
      <c r="M9" s="2"/>
      <c r="N9" s="123"/>
      <c r="O9" s="135"/>
      <c r="P9" s="4"/>
      <c r="Q9" s="124"/>
      <c r="R9" s="133"/>
      <c r="S9" s="33"/>
      <c r="T9" s="138">
        <f t="shared" si="0"/>
        <v>0</v>
      </c>
    </row>
    <row r="10" spans="1:20" ht="16" thickBot="1" x14ac:dyDescent="0.25">
      <c r="A10" s="43">
        <v>46333</v>
      </c>
      <c r="B10" s="123"/>
      <c r="C10" s="133"/>
      <c r="D10" s="160"/>
      <c r="E10" s="124"/>
      <c r="F10" s="135"/>
      <c r="G10" s="2"/>
      <c r="H10" s="123"/>
      <c r="I10" s="135"/>
      <c r="J10" s="4"/>
      <c r="K10" s="124"/>
      <c r="L10" s="218"/>
      <c r="M10" s="2"/>
      <c r="N10" s="123"/>
      <c r="O10" s="135"/>
      <c r="P10" s="4"/>
      <c r="Q10" s="124"/>
      <c r="R10" s="133"/>
      <c r="S10" s="33"/>
      <c r="T10" s="138">
        <f t="shared" si="0"/>
        <v>0</v>
      </c>
    </row>
    <row r="11" spans="1:20" ht="16" thickBot="1" x14ac:dyDescent="0.25">
      <c r="A11" s="43">
        <v>46334</v>
      </c>
      <c r="B11" s="123"/>
      <c r="C11" s="133"/>
      <c r="D11" s="160"/>
      <c r="E11" s="124"/>
      <c r="F11" s="135"/>
      <c r="G11" s="2"/>
      <c r="H11" s="123"/>
      <c r="I11" s="135"/>
      <c r="J11" s="4"/>
      <c r="K11" s="124"/>
      <c r="L11" s="218"/>
      <c r="M11" s="2"/>
      <c r="N11" s="123"/>
      <c r="O11" s="135"/>
      <c r="P11" s="4"/>
      <c r="Q11" s="124"/>
      <c r="R11" s="133"/>
      <c r="S11" s="33"/>
      <c r="T11" s="138">
        <f t="shared" si="0"/>
        <v>0</v>
      </c>
    </row>
    <row r="12" spans="1:20" ht="16" thickBot="1" x14ac:dyDescent="0.25">
      <c r="A12" s="43">
        <v>46335</v>
      </c>
      <c r="B12" s="123"/>
      <c r="C12" s="133"/>
      <c r="D12" s="160"/>
      <c r="E12" s="124"/>
      <c r="F12" s="135"/>
      <c r="G12" s="2"/>
      <c r="H12" s="123"/>
      <c r="I12" s="135"/>
      <c r="J12" s="4"/>
      <c r="K12" s="124"/>
      <c r="L12" s="218"/>
      <c r="M12" s="2"/>
      <c r="N12" s="123"/>
      <c r="O12" s="135"/>
      <c r="P12" s="4"/>
      <c r="Q12" s="124"/>
      <c r="R12" s="133"/>
      <c r="S12" s="33"/>
      <c r="T12" s="138">
        <f t="shared" si="0"/>
        <v>0</v>
      </c>
    </row>
    <row r="13" spans="1:20" ht="16" thickBot="1" x14ac:dyDescent="0.25">
      <c r="A13" s="43">
        <v>46336</v>
      </c>
      <c r="B13" s="123"/>
      <c r="C13" s="133"/>
      <c r="D13" s="160"/>
      <c r="E13" s="124"/>
      <c r="F13" s="135"/>
      <c r="G13" s="2"/>
      <c r="H13" s="123"/>
      <c r="I13" s="135"/>
      <c r="J13" s="4"/>
      <c r="K13" s="124"/>
      <c r="L13" s="218"/>
      <c r="M13" s="2"/>
      <c r="N13" s="220"/>
      <c r="O13" s="216"/>
      <c r="P13" s="221"/>
      <c r="Q13" s="215"/>
      <c r="R13" s="222"/>
      <c r="S13" s="223"/>
      <c r="T13" s="138">
        <f t="shared" si="0"/>
        <v>0</v>
      </c>
    </row>
    <row r="14" spans="1:20" ht="16" thickBot="1" x14ac:dyDescent="0.25">
      <c r="A14" s="43">
        <v>46337</v>
      </c>
      <c r="B14" s="123"/>
      <c r="C14" s="133"/>
      <c r="D14" s="160"/>
      <c r="E14" s="124"/>
      <c r="F14" s="135"/>
      <c r="G14" s="2"/>
      <c r="H14" s="123"/>
      <c r="I14" s="135"/>
      <c r="J14" s="4"/>
      <c r="K14" s="124"/>
      <c r="L14" s="218"/>
      <c r="M14" s="2"/>
      <c r="N14" s="220"/>
      <c r="O14" s="216"/>
      <c r="P14" s="221"/>
      <c r="Q14" s="215"/>
      <c r="R14" s="222"/>
      <c r="S14" s="223"/>
      <c r="T14" s="138">
        <f t="shared" si="0"/>
        <v>0</v>
      </c>
    </row>
    <row r="15" spans="1:20" ht="16" thickBot="1" x14ac:dyDescent="0.25">
      <c r="A15" s="43">
        <v>46338</v>
      </c>
      <c r="B15" s="123"/>
      <c r="C15" s="133"/>
      <c r="D15" s="160"/>
      <c r="E15" s="124"/>
      <c r="F15" s="135"/>
      <c r="G15" s="2"/>
      <c r="H15" s="123"/>
      <c r="I15" s="135"/>
      <c r="J15" s="4"/>
      <c r="K15" s="124"/>
      <c r="L15" s="218"/>
      <c r="M15" s="2"/>
      <c r="N15" s="220"/>
      <c r="O15" s="216"/>
      <c r="P15" s="221"/>
      <c r="Q15" s="215"/>
      <c r="R15" s="222"/>
      <c r="S15" s="223"/>
      <c r="T15" s="138">
        <f t="shared" si="0"/>
        <v>0</v>
      </c>
    </row>
    <row r="16" spans="1:20" ht="16" thickBot="1" x14ac:dyDescent="0.25">
      <c r="A16" s="43">
        <v>46339</v>
      </c>
      <c r="B16" s="123"/>
      <c r="C16" s="133"/>
      <c r="D16" s="160"/>
      <c r="E16" s="124"/>
      <c r="F16" s="135"/>
      <c r="G16" s="2"/>
      <c r="H16" s="123"/>
      <c r="I16" s="135"/>
      <c r="J16" s="4"/>
      <c r="K16" s="124"/>
      <c r="L16" s="218"/>
      <c r="M16" s="2"/>
      <c r="N16" s="220"/>
      <c r="O16" s="216"/>
      <c r="P16" s="221"/>
      <c r="Q16" s="215"/>
      <c r="R16" s="222"/>
      <c r="S16" s="223"/>
      <c r="T16" s="138">
        <f t="shared" si="0"/>
        <v>0</v>
      </c>
    </row>
    <row r="17" spans="1:20" ht="16" thickBot="1" x14ac:dyDescent="0.25">
      <c r="A17" s="43">
        <v>46340</v>
      </c>
      <c r="B17" s="123"/>
      <c r="C17" s="133"/>
      <c r="D17" s="160"/>
      <c r="E17" s="124"/>
      <c r="F17" s="135"/>
      <c r="G17" s="2"/>
      <c r="H17" s="123"/>
      <c r="I17" s="135"/>
      <c r="J17" s="4"/>
      <c r="K17" s="124"/>
      <c r="L17" s="218"/>
      <c r="M17" s="2"/>
      <c r="N17" s="123"/>
      <c r="O17" s="135"/>
      <c r="P17" s="4"/>
      <c r="Q17" s="124"/>
      <c r="R17" s="133"/>
      <c r="S17" s="33"/>
      <c r="T17" s="138">
        <f t="shared" si="0"/>
        <v>0</v>
      </c>
    </row>
    <row r="18" spans="1:20" ht="16" thickBot="1" x14ac:dyDescent="0.25">
      <c r="A18" s="43">
        <v>46341</v>
      </c>
      <c r="B18" s="123"/>
      <c r="C18" s="133"/>
      <c r="D18" s="160"/>
      <c r="E18" s="124"/>
      <c r="F18" s="135"/>
      <c r="G18" s="2"/>
      <c r="H18" s="123"/>
      <c r="I18" s="135"/>
      <c r="J18" s="4"/>
      <c r="K18" s="124"/>
      <c r="L18" s="218"/>
      <c r="M18" s="2"/>
      <c r="N18" s="123"/>
      <c r="O18" s="135"/>
      <c r="P18" s="4"/>
      <c r="Q18" s="124"/>
      <c r="R18" s="133"/>
      <c r="S18" s="33"/>
      <c r="T18" s="138">
        <f t="shared" si="0"/>
        <v>0</v>
      </c>
    </row>
    <row r="19" spans="1:20" ht="16" thickBot="1" x14ac:dyDescent="0.25">
      <c r="A19" s="43">
        <v>46342</v>
      </c>
      <c r="B19" s="123"/>
      <c r="C19" s="133"/>
      <c r="D19" s="160"/>
      <c r="E19" s="124"/>
      <c r="F19" s="135"/>
      <c r="G19" s="2"/>
      <c r="H19" s="123"/>
      <c r="I19" s="135"/>
      <c r="J19" s="4"/>
      <c r="K19" s="124"/>
      <c r="L19" s="218"/>
      <c r="M19" s="2"/>
      <c r="N19" s="123"/>
      <c r="O19" s="135"/>
      <c r="P19" s="4"/>
      <c r="Q19" s="124"/>
      <c r="R19" s="133"/>
      <c r="S19" s="33"/>
      <c r="T19" s="138">
        <f t="shared" si="0"/>
        <v>0</v>
      </c>
    </row>
    <row r="20" spans="1:20" ht="16" thickBot="1" x14ac:dyDescent="0.25">
      <c r="A20" s="43">
        <v>46343</v>
      </c>
      <c r="B20" s="123"/>
      <c r="C20" s="133"/>
      <c r="D20" s="160"/>
      <c r="E20" s="124"/>
      <c r="F20" s="135"/>
      <c r="G20" s="2"/>
      <c r="H20" s="123"/>
      <c r="I20" s="135"/>
      <c r="J20" s="4"/>
      <c r="K20" s="124"/>
      <c r="L20" s="218"/>
      <c r="M20" s="2"/>
      <c r="N20" s="123"/>
      <c r="O20" s="135"/>
      <c r="P20" s="4"/>
      <c r="Q20" s="124"/>
      <c r="R20" s="133"/>
      <c r="S20" s="33"/>
      <c r="T20" s="138">
        <f t="shared" si="0"/>
        <v>0</v>
      </c>
    </row>
    <row r="21" spans="1:20" ht="16" thickBot="1" x14ac:dyDescent="0.25">
      <c r="A21" s="43">
        <v>46344</v>
      </c>
      <c r="B21" s="123"/>
      <c r="C21" s="133"/>
      <c r="D21" s="160"/>
      <c r="E21" s="124"/>
      <c r="F21" s="135"/>
      <c r="G21" s="2"/>
      <c r="H21" s="123"/>
      <c r="I21" s="135"/>
      <c r="J21" s="4"/>
      <c r="K21" s="124"/>
      <c r="L21" s="218"/>
      <c r="M21" s="2"/>
      <c r="N21" s="123"/>
      <c r="O21" s="135"/>
      <c r="P21" s="4"/>
      <c r="Q21" s="124"/>
      <c r="R21" s="133"/>
      <c r="S21" s="33"/>
      <c r="T21" s="138">
        <f t="shared" si="0"/>
        <v>0</v>
      </c>
    </row>
    <row r="22" spans="1:20" ht="16" thickBot="1" x14ac:dyDescent="0.25">
      <c r="A22" s="43">
        <v>46345</v>
      </c>
      <c r="B22" s="123"/>
      <c r="C22" s="133"/>
      <c r="D22" s="160"/>
      <c r="E22" s="124"/>
      <c r="F22" s="135"/>
      <c r="G22" s="2"/>
      <c r="H22" s="123"/>
      <c r="I22" s="135"/>
      <c r="J22" s="4"/>
      <c r="K22" s="124"/>
      <c r="L22" s="218"/>
      <c r="M22" s="2"/>
      <c r="N22" s="123"/>
      <c r="O22" s="135"/>
      <c r="P22" s="4"/>
      <c r="Q22" s="124"/>
      <c r="R22" s="133"/>
      <c r="S22" s="33"/>
      <c r="T22" s="138">
        <f t="shared" si="0"/>
        <v>0</v>
      </c>
    </row>
    <row r="23" spans="1:20" ht="16" thickBot="1" x14ac:dyDescent="0.25">
      <c r="A23" s="43">
        <v>46346</v>
      </c>
      <c r="B23" s="123"/>
      <c r="C23" s="133"/>
      <c r="D23" s="160"/>
      <c r="E23" s="124"/>
      <c r="F23" s="135"/>
      <c r="G23" s="2"/>
      <c r="H23" s="123"/>
      <c r="I23" s="135"/>
      <c r="J23" s="4"/>
      <c r="K23" s="124"/>
      <c r="L23" s="218"/>
      <c r="M23" s="2"/>
      <c r="N23" s="123"/>
      <c r="O23" s="135"/>
      <c r="P23" s="4"/>
      <c r="Q23" s="124"/>
      <c r="R23" s="133"/>
      <c r="S23" s="33"/>
      <c r="T23" s="138">
        <f t="shared" si="0"/>
        <v>0</v>
      </c>
    </row>
    <row r="24" spans="1:20" ht="16" thickBot="1" x14ac:dyDescent="0.25">
      <c r="A24" s="43">
        <v>46347</v>
      </c>
      <c r="B24" s="123"/>
      <c r="C24" s="133"/>
      <c r="D24" s="160"/>
      <c r="E24" s="124"/>
      <c r="F24" s="135"/>
      <c r="G24" s="2"/>
      <c r="H24" s="123"/>
      <c r="I24" s="135"/>
      <c r="J24" s="4"/>
      <c r="K24" s="124"/>
      <c r="L24" s="218"/>
      <c r="M24" s="2"/>
      <c r="N24" s="123"/>
      <c r="O24" s="135"/>
      <c r="P24" s="4"/>
      <c r="Q24" s="124"/>
      <c r="R24" s="133"/>
      <c r="S24" s="33"/>
      <c r="T24" s="138">
        <f t="shared" si="0"/>
        <v>0</v>
      </c>
    </row>
    <row r="25" spans="1:20" ht="16" thickBot="1" x14ac:dyDescent="0.25">
      <c r="A25" s="43">
        <v>46348</v>
      </c>
      <c r="B25" s="123"/>
      <c r="C25" s="133"/>
      <c r="D25" s="160"/>
      <c r="E25" s="124"/>
      <c r="F25" s="135"/>
      <c r="G25" s="2"/>
      <c r="H25" s="123"/>
      <c r="I25" s="135"/>
      <c r="J25" s="4"/>
      <c r="K25" s="124"/>
      <c r="L25" s="218"/>
      <c r="M25" s="2"/>
      <c r="N25" s="123"/>
      <c r="O25" s="135"/>
      <c r="P25" s="4"/>
      <c r="Q25" s="124"/>
      <c r="R25" s="133"/>
      <c r="S25" s="33"/>
      <c r="T25" s="138">
        <f t="shared" si="0"/>
        <v>0</v>
      </c>
    </row>
    <row r="26" spans="1:20" ht="16" thickBot="1" x14ac:dyDescent="0.25">
      <c r="A26" s="43">
        <v>46349</v>
      </c>
      <c r="B26" s="123"/>
      <c r="C26" s="133"/>
      <c r="D26" s="160"/>
      <c r="E26" s="124"/>
      <c r="F26" s="135"/>
      <c r="G26" s="2"/>
      <c r="H26" s="123"/>
      <c r="I26" s="135"/>
      <c r="J26" s="4"/>
      <c r="K26" s="124"/>
      <c r="L26" s="218"/>
      <c r="M26" s="2"/>
      <c r="N26" s="123"/>
      <c r="O26" s="135"/>
      <c r="P26" s="4"/>
      <c r="Q26" s="124"/>
      <c r="R26" s="133"/>
      <c r="S26" s="33"/>
      <c r="T26" s="138">
        <f t="shared" si="0"/>
        <v>0</v>
      </c>
    </row>
    <row r="27" spans="1:20" ht="16" thickBot="1" x14ac:dyDescent="0.25">
      <c r="A27" s="43">
        <v>46350</v>
      </c>
      <c r="B27" s="123"/>
      <c r="C27" s="133"/>
      <c r="D27" s="160"/>
      <c r="E27" s="124"/>
      <c r="F27" s="135"/>
      <c r="G27" s="2"/>
      <c r="H27" s="123"/>
      <c r="I27" s="135"/>
      <c r="J27" s="4"/>
      <c r="K27" s="124"/>
      <c r="L27" s="218"/>
      <c r="M27" s="2"/>
      <c r="N27" s="123"/>
      <c r="O27" s="135"/>
      <c r="P27" s="4"/>
      <c r="Q27" s="124"/>
      <c r="R27" s="133"/>
      <c r="S27" s="33"/>
      <c r="T27" s="138">
        <f t="shared" si="0"/>
        <v>0</v>
      </c>
    </row>
    <row r="28" spans="1:20" ht="16" thickBot="1" x14ac:dyDescent="0.25">
      <c r="A28" s="43">
        <v>46351</v>
      </c>
      <c r="B28" s="123"/>
      <c r="C28" s="133"/>
      <c r="D28" s="160"/>
      <c r="E28" s="124"/>
      <c r="F28" s="135"/>
      <c r="G28" s="2"/>
      <c r="H28" s="123"/>
      <c r="I28" s="135"/>
      <c r="J28" s="4"/>
      <c r="K28" s="124"/>
      <c r="L28" s="218"/>
      <c r="M28" s="2"/>
      <c r="N28" s="123"/>
      <c r="O28" s="134"/>
      <c r="P28" s="4"/>
      <c r="Q28" s="124"/>
      <c r="R28" s="133"/>
      <c r="S28" s="33"/>
      <c r="T28" s="138">
        <f t="shared" si="0"/>
        <v>0</v>
      </c>
    </row>
    <row r="29" spans="1:20" ht="16" thickBot="1" x14ac:dyDescent="0.25">
      <c r="A29" s="43">
        <v>46352</v>
      </c>
      <c r="B29" s="123"/>
      <c r="C29" s="133"/>
      <c r="D29" s="160"/>
      <c r="E29" s="124"/>
      <c r="F29" s="135"/>
      <c r="G29" s="2"/>
      <c r="H29" s="123"/>
      <c r="I29" s="135"/>
      <c r="J29" s="4"/>
      <c r="K29" s="124"/>
      <c r="L29" s="218"/>
      <c r="M29" s="2"/>
      <c r="N29" s="123"/>
      <c r="O29" s="134"/>
      <c r="P29" s="4"/>
      <c r="Q29" s="124"/>
      <c r="R29" s="133"/>
      <c r="S29" s="33"/>
      <c r="T29" s="138">
        <f t="shared" si="0"/>
        <v>0</v>
      </c>
    </row>
    <row r="30" spans="1:20" ht="16" thickBot="1" x14ac:dyDescent="0.25">
      <c r="A30" s="43">
        <v>46353</v>
      </c>
      <c r="B30" s="123"/>
      <c r="C30" s="133"/>
      <c r="D30" s="160"/>
      <c r="E30" s="124"/>
      <c r="F30" s="135"/>
      <c r="G30" s="2"/>
      <c r="H30" s="123"/>
      <c r="I30" s="135"/>
      <c r="J30" s="4"/>
      <c r="K30" s="124"/>
      <c r="L30" s="218"/>
      <c r="M30" s="2"/>
      <c r="N30" s="8"/>
      <c r="O30" s="134"/>
      <c r="P30" s="4"/>
      <c r="Q30" s="124"/>
      <c r="R30" s="133"/>
      <c r="S30" s="33"/>
      <c r="T30" s="138">
        <f t="shared" si="0"/>
        <v>0</v>
      </c>
    </row>
    <row r="31" spans="1:20" ht="16" thickBot="1" x14ac:dyDescent="0.25">
      <c r="A31" s="43">
        <v>46354</v>
      </c>
      <c r="B31" s="123"/>
      <c r="C31" s="133"/>
      <c r="D31" s="160"/>
      <c r="E31" s="124"/>
      <c r="F31" s="135"/>
      <c r="G31" s="2"/>
      <c r="H31" s="123"/>
      <c r="I31" s="135"/>
      <c r="J31" s="4"/>
      <c r="K31" s="124"/>
      <c r="L31" s="218"/>
      <c r="M31" s="2"/>
      <c r="N31" s="8"/>
      <c r="O31" s="134"/>
      <c r="P31" s="4"/>
      <c r="Q31" s="124"/>
      <c r="R31" s="133"/>
      <c r="S31" s="33"/>
      <c r="T31" s="138">
        <f t="shared" si="0"/>
        <v>0</v>
      </c>
    </row>
    <row r="32" spans="1:20" ht="16" thickBot="1" x14ac:dyDescent="0.25">
      <c r="A32" s="43">
        <v>46355</v>
      </c>
      <c r="B32" s="123"/>
      <c r="C32" s="133"/>
      <c r="D32" s="160"/>
      <c r="E32" s="124"/>
      <c r="F32" s="135"/>
      <c r="G32" s="2"/>
      <c r="H32" s="123"/>
      <c r="I32" s="135"/>
      <c r="J32" s="4"/>
      <c r="K32" s="124"/>
      <c r="L32" s="218"/>
      <c r="M32" s="2"/>
      <c r="N32" s="8"/>
      <c r="O32" s="134"/>
      <c r="P32" s="4"/>
      <c r="Q32" s="141"/>
      <c r="R32" s="133"/>
      <c r="S32" s="33"/>
      <c r="T32" s="138">
        <f t="shared" si="0"/>
        <v>0</v>
      </c>
    </row>
    <row r="33" spans="1:20" ht="16" thickBot="1" x14ac:dyDescent="0.25">
      <c r="A33" s="43">
        <v>46356</v>
      </c>
      <c r="B33" s="123"/>
      <c r="C33" s="133"/>
      <c r="D33" s="160"/>
      <c r="E33" s="124"/>
      <c r="F33" s="135"/>
      <c r="G33" s="2"/>
      <c r="H33" s="123"/>
      <c r="I33" s="135"/>
      <c r="J33" s="4"/>
      <c r="K33" s="124"/>
      <c r="L33" s="218"/>
      <c r="M33" s="2"/>
      <c r="N33" s="8"/>
      <c r="O33" s="134"/>
      <c r="P33" s="4"/>
      <c r="Q33" s="141"/>
      <c r="R33" s="133"/>
      <c r="S33" s="33"/>
      <c r="T33" s="138">
        <f t="shared" si="0"/>
        <v>0</v>
      </c>
    </row>
    <row r="34" spans="1:20" ht="16" thickBot="1" x14ac:dyDescent="0.25">
      <c r="A34" s="41" t="s">
        <v>51</v>
      </c>
      <c r="B34" s="255">
        <f>SUM(C4:C33)</f>
        <v>0</v>
      </c>
      <c r="C34" s="256"/>
      <c r="D34" s="257"/>
      <c r="E34" s="255">
        <f>SUM(F4:F33)</f>
        <v>0</v>
      </c>
      <c r="F34" s="256"/>
      <c r="G34" s="257"/>
      <c r="H34" s="255">
        <f>SUM(I4:I33)</f>
        <v>0</v>
      </c>
      <c r="I34" s="256"/>
      <c r="J34" s="257"/>
      <c r="K34" s="255">
        <f>SUM(L4:L33)</f>
        <v>0</v>
      </c>
      <c r="L34" s="256"/>
      <c r="M34" s="257"/>
      <c r="N34" s="255">
        <f>SUM(O4:O33)</f>
        <v>0</v>
      </c>
      <c r="O34" s="256"/>
      <c r="P34" s="257"/>
      <c r="Q34" s="255">
        <f>SUM(R4:R33)</f>
        <v>0</v>
      </c>
      <c r="R34" s="256"/>
      <c r="S34" s="257"/>
      <c r="T34" s="238">
        <f>SUM(T4:T33)</f>
        <v>0</v>
      </c>
    </row>
    <row r="35" spans="1:20" ht="17" thickBot="1" x14ac:dyDescent="0.25">
      <c r="B35" s="253" t="s">
        <v>11</v>
      </c>
      <c r="C35" s="254"/>
      <c r="D35" s="254"/>
      <c r="E35" s="254"/>
      <c r="F35" s="254"/>
      <c r="G35" s="254"/>
      <c r="H35" s="254"/>
      <c r="I35" s="254"/>
      <c r="J35" s="254"/>
      <c r="K35" s="254"/>
      <c r="L35" s="254"/>
      <c r="M35" s="254"/>
      <c r="N35" s="254"/>
      <c r="O35" s="254"/>
      <c r="P35" s="254"/>
      <c r="Q35" s="254"/>
      <c r="R35" s="254"/>
      <c r="S35" s="258"/>
      <c r="T35" s="239"/>
    </row>
  </sheetData>
  <mergeCells count="17">
    <mergeCell ref="A1:A3"/>
    <mergeCell ref="B1:S1"/>
    <mergeCell ref="B2:D2"/>
    <mergeCell ref="E2:G2"/>
    <mergeCell ref="H2:J2"/>
    <mergeCell ref="K2:M2"/>
    <mergeCell ref="N2:P2"/>
    <mergeCell ref="Q2:S2"/>
    <mergeCell ref="T2:T3"/>
    <mergeCell ref="B34:D34"/>
    <mergeCell ref="E34:G34"/>
    <mergeCell ref="H34:J34"/>
    <mergeCell ref="K34:M34"/>
    <mergeCell ref="N34:P34"/>
    <mergeCell ref="Q34:S34"/>
    <mergeCell ref="T34:T35"/>
    <mergeCell ref="B35:S35"/>
  </mergeCells>
  <dataValidations count="1">
    <dataValidation type="list" allowBlank="1" showInputMessage="1" showErrorMessage="1" sqref="M4:M33 S4:S33 G4:G33 D4:D33 J4:J33 P4:P33" xr:uid="{46962882-81ED-4A49-B321-9CE71315CD09}">
      <formula1>"Booking,Airbnb,Cash,Bank transfer"</formula1>
    </dataValidation>
  </dataValidation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D213DD2-98D3-3144-8D95-4DC9F307A18C}">
            <x14:iconSet custom="1">
              <x14:cfvo type="percent">
                <xm:f>0</xm:f>
              </x14:cfvo>
              <x14:cfvo type="num">
                <xm:f>17000</xm:f>
              </x14:cfvo>
              <x14:cfvo type="num" gte="0">
                <xm:f>17000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B34 H34 N34</xm:sqref>
        </x14:conditionalFormatting>
        <x14:conditionalFormatting xmlns:xm="http://schemas.microsoft.com/office/excel/2006/main">
          <x14:cfRule type="iconSet" priority="2" id="{BF980425-633C-F04C-A1FA-84C41172503B}">
            <x14:iconSet custom="1">
              <x14:cfvo type="percent">
                <xm:f>0</xm:f>
              </x14:cfvo>
              <x14:cfvo type="num">
                <xm:f>14000</xm:f>
              </x14:cfvo>
              <x14:cfvo type="num" gte="0">
                <xm:f>14000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E34 K34 Q34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DA2A0-83DE-9147-8FD9-07AEDA4355CC}">
  <sheetPr codeName="Feuil16"/>
  <dimension ref="A1:T37"/>
  <sheetViews>
    <sheetView showGridLines="0" zoomScale="58" workbookViewId="0">
      <selection activeCell="A4" sqref="A4:A34"/>
    </sheetView>
  </sheetViews>
  <sheetFormatPr baseColWidth="10" defaultColWidth="10.83203125" defaultRowHeight="15" x14ac:dyDescent="0.2"/>
  <cols>
    <col min="2" max="2" width="18.83203125" customWidth="1"/>
    <col min="3" max="3" width="13.1640625" bestFit="1" customWidth="1"/>
    <col min="5" max="5" width="18.83203125" customWidth="1"/>
    <col min="6" max="6" width="14.1640625" bestFit="1" customWidth="1"/>
    <col min="8" max="8" width="18.83203125" customWidth="1"/>
    <col min="9" max="9" width="13.1640625" bestFit="1" customWidth="1"/>
    <col min="11" max="11" width="18.83203125" customWidth="1"/>
    <col min="12" max="12" width="14.1640625" bestFit="1" customWidth="1"/>
    <col min="14" max="14" width="18.83203125" customWidth="1"/>
    <col min="15" max="15" width="13.1640625" bestFit="1" customWidth="1"/>
    <col min="16" max="16" width="12.6640625" customWidth="1"/>
    <col min="17" max="17" width="18.83203125" customWidth="1"/>
    <col min="18" max="18" width="13.1640625" bestFit="1" customWidth="1"/>
    <col min="20" max="20" width="21" customWidth="1"/>
  </cols>
  <sheetData>
    <row r="1" spans="1:20" ht="30" thickBot="1" x14ac:dyDescent="0.4">
      <c r="A1" s="250" t="s">
        <v>0</v>
      </c>
      <c r="B1" s="248" t="s">
        <v>9</v>
      </c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</row>
    <row r="2" spans="1:20" ht="19" x14ac:dyDescent="0.2">
      <c r="A2" s="251"/>
      <c r="B2" s="245" t="s">
        <v>4</v>
      </c>
      <c r="C2" s="246"/>
      <c r="D2" s="247"/>
      <c r="E2" s="245" t="s">
        <v>5</v>
      </c>
      <c r="F2" s="246"/>
      <c r="G2" s="247"/>
      <c r="H2" s="245" t="s">
        <v>6</v>
      </c>
      <c r="I2" s="246"/>
      <c r="J2" s="247"/>
      <c r="K2" s="245" t="s">
        <v>7</v>
      </c>
      <c r="L2" s="246"/>
      <c r="M2" s="247"/>
      <c r="N2" s="245" t="s">
        <v>8</v>
      </c>
      <c r="O2" s="246"/>
      <c r="P2" s="247"/>
      <c r="Q2" s="245" t="s">
        <v>105</v>
      </c>
      <c r="R2" s="246"/>
      <c r="S2" s="247"/>
      <c r="T2" s="240" t="s">
        <v>10</v>
      </c>
    </row>
    <row r="3" spans="1:20" ht="20" thickBot="1" x14ac:dyDescent="0.25">
      <c r="A3" s="252"/>
      <c r="B3" s="16" t="s">
        <v>1</v>
      </c>
      <c r="C3" s="17" t="s">
        <v>2</v>
      </c>
      <c r="D3" s="18" t="s">
        <v>3</v>
      </c>
      <c r="E3" s="16" t="s">
        <v>1</v>
      </c>
      <c r="F3" s="17" t="s">
        <v>2</v>
      </c>
      <c r="G3" s="18" t="s">
        <v>3</v>
      </c>
      <c r="H3" s="16" t="s">
        <v>1</v>
      </c>
      <c r="I3" s="17" t="s">
        <v>2</v>
      </c>
      <c r="J3" s="18" t="s">
        <v>3</v>
      </c>
      <c r="K3" s="16" t="s">
        <v>1</v>
      </c>
      <c r="L3" s="17" t="s">
        <v>2</v>
      </c>
      <c r="M3" s="18" t="s">
        <v>3</v>
      </c>
      <c r="N3" s="16" t="s">
        <v>1</v>
      </c>
      <c r="O3" s="17" t="s">
        <v>2</v>
      </c>
      <c r="P3" s="18" t="s">
        <v>3</v>
      </c>
      <c r="Q3" s="16" t="s">
        <v>1</v>
      </c>
      <c r="R3" s="17" t="s">
        <v>2</v>
      </c>
      <c r="S3" s="18" t="s">
        <v>3</v>
      </c>
      <c r="T3" s="241"/>
    </row>
    <row r="4" spans="1:20" ht="16" thickBot="1" x14ac:dyDescent="0.25">
      <c r="A4" s="43">
        <v>46357</v>
      </c>
      <c r="B4" s="123"/>
      <c r="C4" s="133"/>
      <c r="D4" s="160"/>
      <c r="E4" s="124"/>
      <c r="F4" s="135"/>
      <c r="G4" s="2"/>
      <c r="H4" s="123"/>
      <c r="I4" s="135"/>
      <c r="J4" s="4"/>
      <c r="K4" s="124"/>
      <c r="L4" s="218"/>
      <c r="M4" s="2"/>
      <c r="N4" s="176"/>
      <c r="O4" s="168"/>
      <c r="P4" s="1"/>
      <c r="Q4" s="123"/>
      <c r="R4" s="133"/>
      <c r="S4" s="33"/>
      <c r="T4" s="138">
        <f>C4+F4+I4+L4+O4+R4</f>
        <v>0</v>
      </c>
    </row>
    <row r="5" spans="1:20" ht="16" thickBot="1" x14ac:dyDescent="0.25">
      <c r="A5" s="43">
        <v>46358</v>
      </c>
      <c r="B5" s="123"/>
      <c r="C5" s="133"/>
      <c r="D5" s="160"/>
      <c r="E5" s="124"/>
      <c r="F5" s="135"/>
      <c r="G5" s="2"/>
      <c r="H5" s="123"/>
      <c r="I5" s="135"/>
      <c r="J5" s="4"/>
      <c r="K5" s="124"/>
      <c r="L5" s="218"/>
      <c r="M5" s="2"/>
      <c r="N5" s="124"/>
      <c r="O5" s="135"/>
      <c r="P5" s="2"/>
      <c r="Q5" s="123"/>
      <c r="R5" s="133"/>
      <c r="S5" s="33"/>
      <c r="T5" s="138">
        <f t="shared" ref="T5:T34" si="0">C5+F5+I5+L5+O5+R5</f>
        <v>0</v>
      </c>
    </row>
    <row r="6" spans="1:20" ht="16" thickBot="1" x14ac:dyDescent="0.25">
      <c r="A6" s="43">
        <v>46359</v>
      </c>
      <c r="B6" s="123"/>
      <c r="C6" s="133"/>
      <c r="D6" s="160"/>
      <c r="E6" s="124"/>
      <c r="F6" s="135"/>
      <c r="G6" s="2"/>
      <c r="H6" s="123"/>
      <c r="I6" s="135"/>
      <c r="J6" s="4"/>
      <c r="K6" s="124"/>
      <c r="L6" s="218"/>
      <c r="M6" s="2"/>
      <c r="N6" s="124"/>
      <c r="O6" s="135"/>
      <c r="P6" s="2"/>
      <c r="Q6" s="123"/>
      <c r="R6" s="133"/>
      <c r="S6" s="33"/>
      <c r="T6" s="138">
        <f t="shared" si="0"/>
        <v>0</v>
      </c>
    </row>
    <row r="7" spans="1:20" ht="16" thickBot="1" x14ac:dyDescent="0.25">
      <c r="A7" s="43">
        <v>46360</v>
      </c>
      <c r="B7" s="123"/>
      <c r="C7" s="133"/>
      <c r="D7" s="160"/>
      <c r="E7" s="124"/>
      <c r="F7" s="135"/>
      <c r="G7" s="2"/>
      <c r="H7" s="123"/>
      <c r="I7" s="135"/>
      <c r="J7" s="4"/>
      <c r="K7" s="124"/>
      <c r="L7" s="218"/>
      <c r="M7" s="2"/>
      <c r="N7" s="124"/>
      <c r="O7" s="135"/>
      <c r="P7" s="2"/>
      <c r="Q7" s="123"/>
      <c r="R7" s="133"/>
      <c r="S7" s="33"/>
      <c r="T7" s="138">
        <f t="shared" si="0"/>
        <v>0</v>
      </c>
    </row>
    <row r="8" spans="1:20" ht="16" thickBot="1" x14ac:dyDescent="0.25">
      <c r="A8" s="43">
        <v>46361</v>
      </c>
      <c r="B8" s="123"/>
      <c r="C8" s="133"/>
      <c r="D8" s="160"/>
      <c r="E8" s="124"/>
      <c r="F8" s="135"/>
      <c r="G8" s="2"/>
      <c r="H8" s="123"/>
      <c r="I8" s="135"/>
      <c r="J8" s="4"/>
      <c r="K8" s="124"/>
      <c r="L8" s="218"/>
      <c r="M8" s="2"/>
      <c r="N8" s="124"/>
      <c r="O8" s="135"/>
      <c r="P8" s="2"/>
      <c r="Q8" s="123"/>
      <c r="R8" s="133"/>
      <c r="S8" s="33"/>
      <c r="T8" s="138">
        <f t="shared" si="0"/>
        <v>0</v>
      </c>
    </row>
    <row r="9" spans="1:20" ht="16" thickBot="1" x14ac:dyDescent="0.25">
      <c r="A9" s="43">
        <v>46362</v>
      </c>
      <c r="B9" s="123"/>
      <c r="C9" s="133"/>
      <c r="D9" s="160"/>
      <c r="E9" s="124"/>
      <c r="F9" s="135"/>
      <c r="G9" s="2"/>
      <c r="H9" s="123"/>
      <c r="I9" s="135"/>
      <c r="J9" s="4"/>
      <c r="K9" s="124"/>
      <c r="L9" s="218"/>
      <c r="M9" s="2"/>
      <c r="N9" s="124"/>
      <c r="O9" s="135"/>
      <c r="P9" s="2"/>
      <c r="Q9" s="123"/>
      <c r="R9" s="133"/>
      <c r="S9" s="33"/>
      <c r="T9" s="138">
        <f t="shared" si="0"/>
        <v>0</v>
      </c>
    </row>
    <row r="10" spans="1:20" ht="16" thickBot="1" x14ac:dyDescent="0.25">
      <c r="A10" s="43">
        <v>46363</v>
      </c>
      <c r="B10" s="123"/>
      <c r="C10" s="133"/>
      <c r="D10" s="160"/>
      <c r="E10" s="124"/>
      <c r="F10" s="135"/>
      <c r="G10" s="2"/>
      <c r="H10" s="123"/>
      <c r="I10" s="135"/>
      <c r="J10" s="4"/>
      <c r="K10" s="124"/>
      <c r="L10" s="218"/>
      <c r="M10" s="2"/>
      <c r="N10" s="124"/>
      <c r="O10" s="135"/>
      <c r="P10" s="2"/>
      <c r="Q10" s="123"/>
      <c r="R10" s="133"/>
      <c r="S10" s="33"/>
      <c r="T10" s="138">
        <f t="shared" si="0"/>
        <v>0</v>
      </c>
    </row>
    <row r="11" spans="1:20" ht="16" thickBot="1" x14ac:dyDescent="0.25">
      <c r="A11" s="43">
        <v>46364</v>
      </c>
      <c r="B11" s="123"/>
      <c r="C11" s="133"/>
      <c r="D11" s="160"/>
      <c r="E11" s="124"/>
      <c r="F11" s="135"/>
      <c r="G11" s="2"/>
      <c r="H11" s="123"/>
      <c r="I11" s="135"/>
      <c r="J11" s="4"/>
      <c r="K11" s="124"/>
      <c r="L11" s="218"/>
      <c r="M11" s="2"/>
      <c r="N11" s="124"/>
      <c r="O11" s="135"/>
      <c r="P11" s="2"/>
      <c r="Q11" s="123"/>
      <c r="R11" s="133"/>
      <c r="S11" s="33"/>
      <c r="T11" s="138">
        <f t="shared" si="0"/>
        <v>0</v>
      </c>
    </row>
    <row r="12" spans="1:20" ht="16" thickBot="1" x14ac:dyDescent="0.25">
      <c r="A12" s="43">
        <v>46365</v>
      </c>
      <c r="B12" s="123"/>
      <c r="C12" s="133"/>
      <c r="D12" s="160"/>
      <c r="E12" s="124"/>
      <c r="F12" s="135"/>
      <c r="G12" s="2"/>
      <c r="H12" s="123"/>
      <c r="I12" s="135"/>
      <c r="J12" s="4"/>
      <c r="K12" s="124"/>
      <c r="L12" s="218"/>
      <c r="M12" s="2"/>
      <c r="N12" s="124"/>
      <c r="O12" s="135"/>
      <c r="P12" s="2"/>
      <c r="Q12" s="123"/>
      <c r="R12" s="133"/>
      <c r="S12" s="33"/>
      <c r="T12" s="138">
        <f t="shared" si="0"/>
        <v>0</v>
      </c>
    </row>
    <row r="13" spans="1:20" ht="16" thickBot="1" x14ac:dyDescent="0.25">
      <c r="A13" s="43">
        <v>46366</v>
      </c>
      <c r="B13" s="123"/>
      <c r="C13" s="133"/>
      <c r="D13" s="160"/>
      <c r="E13" s="124"/>
      <c r="F13" s="135"/>
      <c r="G13" s="2"/>
      <c r="H13" s="123"/>
      <c r="I13" s="135"/>
      <c r="J13" s="4"/>
      <c r="K13" s="124"/>
      <c r="L13" s="218"/>
      <c r="M13" s="2"/>
      <c r="N13" s="124"/>
      <c r="O13" s="135"/>
      <c r="P13" s="2"/>
      <c r="Q13" s="123"/>
      <c r="R13" s="133"/>
      <c r="S13" s="33"/>
      <c r="T13" s="138">
        <f t="shared" si="0"/>
        <v>0</v>
      </c>
    </row>
    <row r="14" spans="1:20" ht="16" thickBot="1" x14ac:dyDescent="0.25">
      <c r="A14" s="43">
        <v>46367</v>
      </c>
      <c r="B14" s="123"/>
      <c r="C14" s="133"/>
      <c r="D14" s="160"/>
      <c r="E14" s="124"/>
      <c r="F14" s="135"/>
      <c r="G14" s="2"/>
      <c r="H14" s="123"/>
      <c r="I14" s="135"/>
      <c r="J14" s="4"/>
      <c r="K14" s="124"/>
      <c r="L14" s="218"/>
      <c r="M14" s="2"/>
      <c r="N14" s="124"/>
      <c r="O14" s="135"/>
      <c r="P14" s="2"/>
      <c r="Q14" s="123"/>
      <c r="R14" s="133"/>
      <c r="S14" s="33"/>
      <c r="T14" s="138">
        <f t="shared" si="0"/>
        <v>0</v>
      </c>
    </row>
    <row r="15" spans="1:20" ht="16" thickBot="1" x14ac:dyDescent="0.25">
      <c r="A15" s="43">
        <v>46368</v>
      </c>
      <c r="B15" s="123"/>
      <c r="C15" s="133"/>
      <c r="D15" s="160"/>
      <c r="E15" s="124"/>
      <c r="F15" s="135"/>
      <c r="G15" s="2"/>
      <c r="H15" s="123"/>
      <c r="I15" s="135"/>
      <c r="J15" s="4"/>
      <c r="K15" s="124"/>
      <c r="L15" s="218"/>
      <c r="M15" s="2"/>
      <c r="N15" s="124"/>
      <c r="O15" s="135"/>
      <c r="P15" s="2"/>
      <c r="Q15" s="123"/>
      <c r="R15" s="133"/>
      <c r="S15" s="33"/>
      <c r="T15" s="138">
        <f t="shared" si="0"/>
        <v>0</v>
      </c>
    </row>
    <row r="16" spans="1:20" ht="16" thickBot="1" x14ac:dyDescent="0.25">
      <c r="A16" s="43">
        <v>46369</v>
      </c>
      <c r="B16" s="123"/>
      <c r="C16" s="133"/>
      <c r="D16" s="160"/>
      <c r="E16" s="124"/>
      <c r="F16" s="135"/>
      <c r="G16" s="2"/>
      <c r="H16" s="123"/>
      <c r="I16" s="135"/>
      <c r="J16" s="4"/>
      <c r="K16" s="124"/>
      <c r="L16" s="218"/>
      <c r="M16" s="2"/>
      <c r="N16" s="124"/>
      <c r="O16" s="135"/>
      <c r="P16" s="2"/>
      <c r="Q16" s="123"/>
      <c r="R16" s="133"/>
      <c r="S16" s="33"/>
      <c r="T16" s="138">
        <f t="shared" si="0"/>
        <v>0</v>
      </c>
    </row>
    <row r="17" spans="1:20" ht="16" thickBot="1" x14ac:dyDescent="0.25">
      <c r="A17" s="43">
        <v>46370</v>
      </c>
      <c r="B17" s="123"/>
      <c r="C17" s="133"/>
      <c r="D17" s="160"/>
      <c r="E17" s="124"/>
      <c r="F17" s="135"/>
      <c r="G17" s="2"/>
      <c r="H17" s="123"/>
      <c r="I17" s="135"/>
      <c r="J17" s="4"/>
      <c r="K17" s="124"/>
      <c r="L17" s="218"/>
      <c r="M17" s="2"/>
      <c r="N17" s="124"/>
      <c r="O17" s="135"/>
      <c r="P17" s="2"/>
      <c r="Q17" s="123"/>
      <c r="R17" s="133"/>
      <c r="S17" s="33"/>
      <c r="T17" s="138">
        <f t="shared" si="0"/>
        <v>0</v>
      </c>
    </row>
    <row r="18" spans="1:20" ht="16" thickBot="1" x14ac:dyDescent="0.25">
      <c r="A18" s="43">
        <v>46371</v>
      </c>
      <c r="B18" s="123"/>
      <c r="C18" s="133"/>
      <c r="D18" s="160"/>
      <c r="E18" s="124"/>
      <c r="F18" s="135"/>
      <c r="G18" s="2"/>
      <c r="H18" s="123"/>
      <c r="I18" s="135"/>
      <c r="J18" s="4"/>
      <c r="K18" s="124"/>
      <c r="L18" s="218"/>
      <c r="M18" s="2"/>
      <c r="N18" s="124"/>
      <c r="O18" s="135"/>
      <c r="P18" s="2"/>
      <c r="Q18" s="123"/>
      <c r="R18" s="133"/>
      <c r="S18" s="33"/>
      <c r="T18" s="138">
        <f t="shared" si="0"/>
        <v>0</v>
      </c>
    </row>
    <row r="19" spans="1:20" ht="16" thickBot="1" x14ac:dyDescent="0.25">
      <c r="A19" s="43">
        <v>46372</v>
      </c>
      <c r="B19" s="123"/>
      <c r="C19" s="133"/>
      <c r="D19" s="160"/>
      <c r="E19" s="124"/>
      <c r="F19" s="135"/>
      <c r="G19" s="2"/>
      <c r="H19" s="123"/>
      <c r="I19" s="135"/>
      <c r="J19" s="4"/>
      <c r="K19" s="124"/>
      <c r="L19" s="218"/>
      <c r="M19" s="2"/>
      <c r="N19" s="124"/>
      <c r="O19" s="135"/>
      <c r="P19" s="2"/>
      <c r="Q19" s="123"/>
      <c r="R19" s="133"/>
      <c r="S19" s="33"/>
      <c r="T19" s="138">
        <f t="shared" si="0"/>
        <v>0</v>
      </c>
    </row>
    <row r="20" spans="1:20" ht="16" thickBot="1" x14ac:dyDescent="0.25">
      <c r="A20" s="43">
        <v>46373</v>
      </c>
      <c r="B20" s="123"/>
      <c r="C20" s="133"/>
      <c r="D20" s="160"/>
      <c r="E20" s="124"/>
      <c r="F20" s="135"/>
      <c r="G20" s="2"/>
      <c r="H20" s="123"/>
      <c r="I20" s="135"/>
      <c r="J20" s="4"/>
      <c r="K20" s="124"/>
      <c r="L20" s="218"/>
      <c r="M20" s="2"/>
      <c r="N20" s="124"/>
      <c r="O20" s="135"/>
      <c r="P20" s="2"/>
      <c r="Q20" s="123"/>
      <c r="R20" s="133"/>
      <c r="S20" s="33"/>
      <c r="T20" s="138">
        <f t="shared" si="0"/>
        <v>0</v>
      </c>
    </row>
    <row r="21" spans="1:20" ht="16" thickBot="1" x14ac:dyDescent="0.25">
      <c r="A21" s="43">
        <v>46374</v>
      </c>
      <c r="B21" s="123"/>
      <c r="C21" s="133"/>
      <c r="D21" s="160"/>
      <c r="E21" s="124"/>
      <c r="F21" s="135"/>
      <c r="G21" s="2"/>
      <c r="H21" s="123"/>
      <c r="I21" s="135"/>
      <c r="J21" s="4"/>
      <c r="K21" s="124"/>
      <c r="L21" s="218"/>
      <c r="M21" s="2"/>
      <c r="N21" s="124"/>
      <c r="O21" s="135"/>
      <c r="P21" s="2"/>
      <c r="Q21" s="123"/>
      <c r="R21" s="133"/>
      <c r="S21" s="33"/>
      <c r="T21" s="138">
        <f t="shared" si="0"/>
        <v>0</v>
      </c>
    </row>
    <row r="22" spans="1:20" ht="16" thickBot="1" x14ac:dyDescent="0.25">
      <c r="A22" s="43">
        <v>46375</v>
      </c>
      <c r="B22" s="123"/>
      <c r="C22" s="133"/>
      <c r="D22" s="160"/>
      <c r="E22" s="124"/>
      <c r="F22" s="135"/>
      <c r="G22" s="2"/>
      <c r="H22" s="123"/>
      <c r="I22" s="135"/>
      <c r="J22" s="4"/>
      <c r="K22" s="124"/>
      <c r="L22" s="218"/>
      <c r="M22" s="2"/>
      <c r="N22" s="124"/>
      <c r="O22" s="135"/>
      <c r="P22" s="2"/>
      <c r="Q22" s="123"/>
      <c r="R22" s="133"/>
      <c r="S22" s="33"/>
      <c r="T22" s="138">
        <f t="shared" si="0"/>
        <v>0</v>
      </c>
    </row>
    <row r="23" spans="1:20" ht="16" thickBot="1" x14ac:dyDescent="0.25">
      <c r="A23" s="43">
        <v>46376</v>
      </c>
      <c r="B23" s="123"/>
      <c r="C23" s="133"/>
      <c r="D23" s="160"/>
      <c r="E23" s="124"/>
      <c r="F23" s="135"/>
      <c r="G23" s="2"/>
      <c r="H23" s="123"/>
      <c r="I23" s="135"/>
      <c r="J23" s="4"/>
      <c r="K23" s="124"/>
      <c r="L23" s="218"/>
      <c r="M23" s="2"/>
      <c r="N23" s="124"/>
      <c r="O23" s="135"/>
      <c r="P23" s="2"/>
      <c r="Q23" s="123"/>
      <c r="R23" s="133"/>
      <c r="S23" s="33"/>
      <c r="T23" s="138">
        <f t="shared" si="0"/>
        <v>0</v>
      </c>
    </row>
    <row r="24" spans="1:20" ht="16" thickBot="1" x14ac:dyDescent="0.25">
      <c r="A24" s="43">
        <v>46377</v>
      </c>
      <c r="B24" s="123"/>
      <c r="C24" s="133"/>
      <c r="D24" s="160"/>
      <c r="E24" s="124"/>
      <c r="F24" s="135"/>
      <c r="G24" s="2"/>
      <c r="H24" s="123"/>
      <c r="I24" s="135"/>
      <c r="J24" s="4"/>
      <c r="K24" s="124"/>
      <c r="L24" s="218"/>
      <c r="M24" s="2"/>
      <c r="N24" s="124"/>
      <c r="O24" s="135"/>
      <c r="P24" s="2"/>
      <c r="Q24" s="123"/>
      <c r="R24" s="133"/>
      <c r="S24" s="33"/>
      <c r="T24" s="138">
        <f t="shared" si="0"/>
        <v>0</v>
      </c>
    </row>
    <row r="25" spans="1:20" ht="16" thickBot="1" x14ac:dyDescent="0.25">
      <c r="A25" s="43">
        <v>46378</v>
      </c>
      <c r="B25" s="123"/>
      <c r="C25" s="133"/>
      <c r="D25" s="160"/>
      <c r="E25" s="124"/>
      <c r="F25" s="135"/>
      <c r="G25" s="2"/>
      <c r="H25" s="123"/>
      <c r="I25" s="135"/>
      <c r="J25" s="4"/>
      <c r="K25" s="124"/>
      <c r="L25" s="218"/>
      <c r="M25" s="2"/>
      <c r="N25" s="124"/>
      <c r="O25" s="135"/>
      <c r="P25" s="2"/>
      <c r="Q25" s="123"/>
      <c r="R25" s="133"/>
      <c r="S25" s="33"/>
      <c r="T25" s="138">
        <f t="shared" si="0"/>
        <v>0</v>
      </c>
    </row>
    <row r="26" spans="1:20" ht="16" thickBot="1" x14ac:dyDescent="0.25">
      <c r="A26" s="43">
        <v>46379</v>
      </c>
      <c r="B26" s="123"/>
      <c r="C26" s="133"/>
      <c r="D26" s="160"/>
      <c r="E26" s="124"/>
      <c r="F26" s="133"/>
      <c r="G26" s="2"/>
      <c r="H26" s="123"/>
      <c r="I26" s="135"/>
      <c r="J26" s="4"/>
      <c r="K26" s="6"/>
      <c r="L26" s="137"/>
      <c r="M26" s="2"/>
      <c r="N26" s="124"/>
      <c r="O26" s="134"/>
      <c r="P26" s="2"/>
      <c r="Q26" s="201"/>
      <c r="R26" s="133"/>
      <c r="S26" s="33"/>
      <c r="T26" s="138">
        <f t="shared" si="0"/>
        <v>0</v>
      </c>
    </row>
    <row r="27" spans="1:20" ht="16" thickBot="1" x14ac:dyDescent="0.25">
      <c r="A27" s="43">
        <v>46380</v>
      </c>
      <c r="B27" s="123"/>
      <c r="C27" s="134"/>
      <c r="D27" s="160"/>
      <c r="E27" s="124"/>
      <c r="F27" s="133"/>
      <c r="G27" s="2"/>
      <c r="H27" s="123"/>
      <c r="I27" s="133"/>
      <c r="J27" s="4"/>
      <c r="K27" s="6"/>
      <c r="L27" s="137"/>
      <c r="M27" s="2"/>
      <c r="N27" s="124"/>
      <c r="O27" s="134"/>
      <c r="P27" s="2"/>
      <c r="Q27" s="201"/>
      <c r="R27" s="133"/>
      <c r="S27" s="33"/>
      <c r="T27" s="138">
        <f t="shared" si="0"/>
        <v>0</v>
      </c>
    </row>
    <row r="28" spans="1:20" ht="16" thickBot="1" x14ac:dyDescent="0.25">
      <c r="A28" s="43">
        <v>46381</v>
      </c>
      <c r="B28" s="123"/>
      <c r="C28" s="134"/>
      <c r="D28" s="160"/>
      <c r="E28" s="124"/>
      <c r="F28" s="133"/>
      <c r="G28" s="2"/>
      <c r="H28" s="123"/>
      <c r="I28" s="133"/>
      <c r="J28" s="4"/>
      <c r="K28" s="6"/>
      <c r="L28" s="137"/>
      <c r="M28" s="2"/>
      <c r="N28" s="124"/>
      <c r="O28" s="134"/>
      <c r="P28" s="2"/>
      <c r="Q28" s="201"/>
      <c r="R28" s="133"/>
      <c r="S28" s="33"/>
      <c r="T28" s="138">
        <f t="shared" si="0"/>
        <v>0</v>
      </c>
    </row>
    <row r="29" spans="1:20" ht="16" thickBot="1" x14ac:dyDescent="0.25">
      <c r="A29" s="43">
        <v>46382</v>
      </c>
      <c r="B29" s="123"/>
      <c r="C29" s="134"/>
      <c r="D29" s="160"/>
      <c r="E29" s="124"/>
      <c r="F29" s="133"/>
      <c r="G29" s="2"/>
      <c r="H29" s="123"/>
      <c r="I29" s="133"/>
      <c r="J29" s="4"/>
      <c r="K29" s="6"/>
      <c r="L29" s="137"/>
      <c r="M29" s="2"/>
      <c r="N29" s="124"/>
      <c r="O29" s="134"/>
      <c r="P29" s="2"/>
      <c r="Q29" s="201"/>
      <c r="R29" s="133"/>
      <c r="S29" s="33"/>
      <c r="T29" s="138">
        <f t="shared" si="0"/>
        <v>0</v>
      </c>
    </row>
    <row r="30" spans="1:20" ht="16" thickBot="1" x14ac:dyDescent="0.25">
      <c r="A30" s="43">
        <v>46383</v>
      </c>
      <c r="B30" s="123"/>
      <c r="C30" s="134"/>
      <c r="D30" s="160"/>
      <c r="E30" s="124"/>
      <c r="F30" s="133"/>
      <c r="G30" s="2"/>
      <c r="H30" s="123"/>
      <c r="I30" s="133"/>
      <c r="J30" s="4"/>
      <c r="K30" s="6"/>
      <c r="L30" s="137"/>
      <c r="M30" s="2"/>
      <c r="N30" s="6"/>
      <c r="O30" s="134"/>
      <c r="P30" s="2"/>
      <c r="Q30" s="201"/>
      <c r="R30" s="133"/>
      <c r="S30" s="33"/>
      <c r="T30" s="138">
        <f t="shared" si="0"/>
        <v>0</v>
      </c>
    </row>
    <row r="31" spans="1:20" ht="16" thickBot="1" x14ac:dyDescent="0.25">
      <c r="A31" s="43">
        <v>46384</v>
      </c>
      <c r="B31" s="123"/>
      <c r="C31" s="134"/>
      <c r="D31" s="160"/>
      <c r="E31" s="124"/>
      <c r="F31" s="133"/>
      <c r="G31" s="2"/>
      <c r="H31" s="123"/>
      <c r="I31" s="133"/>
      <c r="J31" s="4"/>
      <c r="K31" s="6"/>
      <c r="L31" s="137"/>
      <c r="M31" s="2"/>
      <c r="N31" s="6"/>
      <c r="O31" s="134"/>
      <c r="P31" s="2"/>
      <c r="Q31" s="201"/>
      <c r="R31" s="133"/>
      <c r="S31" s="33"/>
      <c r="T31" s="138">
        <f t="shared" si="0"/>
        <v>0</v>
      </c>
    </row>
    <row r="32" spans="1:20" ht="16" thickBot="1" x14ac:dyDescent="0.25">
      <c r="A32" s="43">
        <v>46385</v>
      </c>
      <c r="B32" s="123"/>
      <c r="C32" s="133"/>
      <c r="D32" s="2"/>
      <c r="E32" s="124"/>
      <c r="F32" s="133"/>
      <c r="G32" s="2"/>
      <c r="H32" s="123"/>
      <c r="I32" s="133"/>
      <c r="J32" s="4"/>
      <c r="K32" s="6"/>
      <c r="L32" s="137"/>
      <c r="M32" s="2"/>
      <c r="N32" s="6"/>
      <c r="O32" s="134"/>
      <c r="P32" s="2"/>
      <c r="Q32" s="201"/>
      <c r="R32" s="133"/>
      <c r="S32" s="33"/>
      <c r="T32" s="138">
        <f t="shared" si="0"/>
        <v>0</v>
      </c>
    </row>
    <row r="33" spans="1:20" ht="16" thickBot="1" x14ac:dyDescent="0.25">
      <c r="A33" s="43">
        <v>46386</v>
      </c>
      <c r="B33" s="123"/>
      <c r="C33" s="133"/>
      <c r="D33" s="2"/>
      <c r="E33" s="124"/>
      <c r="F33" s="133"/>
      <c r="G33" s="2"/>
      <c r="H33" s="123"/>
      <c r="I33" s="133"/>
      <c r="J33" s="4"/>
      <c r="K33" s="6"/>
      <c r="L33" s="137"/>
      <c r="M33" s="2"/>
      <c r="N33" s="6"/>
      <c r="O33" s="134"/>
      <c r="P33" s="2"/>
      <c r="Q33" s="201"/>
      <c r="R33" s="133"/>
      <c r="S33" s="33"/>
      <c r="T33" s="138">
        <f t="shared" si="0"/>
        <v>0</v>
      </c>
    </row>
    <row r="34" spans="1:20" ht="16" thickBot="1" x14ac:dyDescent="0.25">
      <c r="A34" s="43">
        <v>46387</v>
      </c>
      <c r="B34" s="123"/>
      <c r="C34" s="133"/>
      <c r="D34" s="2"/>
      <c r="E34" s="124"/>
      <c r="F34" s="133"/>
      <c r="G34" s="2"/>
      <c r="H34" s="123"/>
      <c r="I34" s="133"/>
      <c r="J34" s="4"/>
      <c r="K34" s="124"/>
      <c r="L34" s="137"/>
      <c r="M34" s="2"/>
      <c r="N34" s="129"/>
      <c r="O34" s="167"/>
      <c r="P34" s="130"/>
      <c r="Q34" s="208"/>
      <c r="R34" s="143"/>
      <c r="S34" s="144"/>
      <c r="T34" s="138">
        <f t="shared" si="0"/>
        <v>0</v>
      </c>
    </row>
    <row r="35" spans="1:20" ht="16" thickBot="1" x14ac:dyDescent="0.25">
      <c r="A35" s="41" t="s">
        <v>51</v>
      </c>
      <c r="B35" s="255">
        <f>SUM(C4:C34)</f>
        <v>0</v>
      </c>
      <c r="C35" s="256"/>
      <c r="D35" s="257"/>
      <c r="E35" s="255">
        <f>SUM(F4:F34)</f>
        <v>0</v>
      </c>
      <c r="F35" s="256"/>
      <c r="G35" s="257"/>
      <c r="H35" s="255">
        <f>SUM(I4:I34)</f>
        <v>0</v>
      </c>
      <c r="I35" s="256"/>
      <c r="J35" s="257"/>
      <c r="K35" s="255">
        <f>SUM(L4:L34)</f>
        <v>0</v>
      </c>
      <c r="L35" s="256"/>
      <c r="M35" s="257"/>
      <c r="N35" s="255">
        <f>SUM(O4:O34)</f>
        <v>0</v>
      </c>
      <c r="O35" s="256"/>
      <c r="P35" s="257"/>
      <c r="Q35" s="255">
        <f>SUM(R4:R34)</f>
        <v>0</v>
      </c>
      <c r="R35" s="256"/>
      <c r="S35" s="257"/>
      <c r="T35" s="238">
        <f>SUM(T4:T34)</f>
        <v>0</v>
      </c>
    </row>
    <row r="36" spans="1:20" ht="17" thickBot="1" x14ac:dyDescent="0.25">
      <c r="B36" s="253" t="s">
        <v>11</v>
      </c>
      <c r="C36" s="254"/>
      <c r="D36" s="254"/>
      <c r="E36" s="254"/>
      <c r="F36" s="254"/>
      <c r="G36" s="254"/>
      <c r="H36" s="254"/>
      <c r="I36" s="254"/>
      <c r="J36" s="254"/>
      <c r="K36" s="254"/>
      <c r="L36" s="254"/>
      <c r="M36" s="254"/>
      <c r="N36" s="254"/>
      <c r="O36" s="254"/>
      <c r="P36" s="254"/>
      <c r="Q36" s="254"/>
      <c r="R36" s="254"/>
      <c r="S36" s="258"/>
      <c r="T36" s="239"/>
    </row>
    <row r="37" spans="1:20" x14ac:dyDescent="0.2">
      <c r="F37" s="177"/>
      <c r="L37" s="177"/>
    </row>
  </sheetData>
  <mergeCells count="17">
    <mergeCell ref="A1:A3"/>
    <mergeCell ref="B1:S1"/>
    <mergeCell ref="B2:D2"/>
    <mergeCell ref="E2:G2"/>
    <mergeCell ref="H2:J2"/>
    <mergeCell ref="K2:M2"/>
    <mergeCell ref="N2:P2"/>
    <mergeCell ref="Q2:S2"/>
    <mergeCell ref="T2:T3"/>
    <mergeCell ref="B35:D35"/>
    <mergeCell ref="E35:G35"/>
    <mergeCell ref="H35:J35"/>
    <mergeCell ref="K35:M35"/>
    <mergeCell ref="N35:P35"/>
    <mergeCell ref="Q35:S35"/>
    <mergeCell ref="T35:T36"/>
    <mergeCell ref="B36:S36"/>
  </mergeCells>
  <dataValidations count="1">
    <dataValidation type="list" allowBlank="1" showInputMessage="1" showErrorMessage="1" sqref="D4:D34 J4:J34 P4:P34 M4:M34 G4:G34 S4:S34" xr:uid="{54B491B9-C236-1E48-BE89-D83E9EB0248A}">
      <formula1>"Booking,Airbnb,Cash,Bank transfer"</formula1>
    </dataValidation>
  </dataValidation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949CBF2-572F-3444-9BA0-11D1F50C92C7}">
            <x14:iconSet custom="1">
              <x14:cfvo type="percent">
                <xm:f>0</xm:f>
              </x14:cfvo>
              <x14:cfvo type="num">
                <xm:f>17000</xm:f>
              </x14:cfvo>
              <x14:cfvo type="num" gte="0">
                <xm:f>17000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B35 H35 N35</xm:sqref>
        </x14:conditionalFormatting>
        <x14:conditionalFormatting xmlns:xm="http://schemas.microsoft.com/office/excel/2006/main">
          <x14:cfRule type="iconSet" priority="2" id="{3541BC88-8A8E-5D4A-9627-BAF9EE5227B0}">
            <x14:iconSet custom="1">
              <x14:cfvo type="percent">
                <xm:f>0</xm:f>
              </x14:cfvo>
              <x14:cfvo type="num">
                <xm:f>14000</xm:f>
              </x14:cfvo>
              <x14:cfvo type="num" gte="0">
                <xm:f>14000</xm:f>
              </x14:cfvo>
              <x14:cfIcon iconSet="3TrafficLights1" iconId="0"/>
              <x14:cfIcon iconSet="3TrafficLights1" iconId="2"/>
              <x14:cfIcon iconSet="3TrafficLights1" iconId="2"/>
            </x14:iconSet>
          </x14:cfRule>
          <xm:sqref>E35 K35 Q35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C6F1C-256C-4EFA-A0CA-677BCC6D5565}">
  <sheetPr codeName="Feuil6">
    <tabColor rgb="FFFFFF00"/>
  </sheetPr>
  <dimension ref="B1:L107"/>
  <sheetViews>
    <sheetView showGridLines="0" zoomScale="162" zoomScaleNormal="150" workbookViewId="0">
      <selection activeCell="F108" sqref="F108"/>
    </sheetView>
  </sheetViews>
  <sheetFormatPr baseColWidth="10" defaultColWidth="10.83203125" defaultRowHeight="15" x14ac:dyDescent="0.2"/>
  <cols>
    <col min="1" max="1" width="3.1640625" customWidth="1"/>
    <col min="2" max="2" width="15.5" customWidth="1"/>
    <col min="3" max="3" width="21.1640625" customWidth="1"/>
    <col min="4" max="4" width="17.83203125" style="82" customWidth="1"/>
    <col min="5" max="5" width="14.33203125" customWidth="1"/>
    <col min="6" max="6" width="11.1640625" customWidth="1"/>
    <col min="7" max="7" width="17.1640625" customWidth="1"/>
    <col min="8" max="8" width="22.6640625" customWidth="1"/>
    <col min="9" max="9" width="12" bestFit="1" customWidth="1"/>
    <col min="11" max="11" width="13.33203125" customWidth="1"/>
  </cols>
  <sheetData>
    <row r="1" spans="2:11" ht="14.5" customHeight="1" x14ac:dyDescent="0.2">
      <c r="B1" s="79" t="s">
        <v>13</v>
      </c>
      <c r="C1" s="80" t="s">
        <v>1</v>
      </c>
      <c r="D1" s="96" t="s">
        <v>48</v>
      </c>
      <c r="E1" s="80" t="s">
        <v>14</v>
      </c>
      <c r="F1" s="81" t="s">
        <v>15</v>
      </c>
    </row>
    <row r="2" spans="2:11" ht="14.5" customHeight="1" x14ac:dyDescent="0.2">
      <c r="B2" s="171">
        <f ca="1">TODAY()</f>
        <v>46078</v>
      </c>
      <c r="C2" s="20" t="s">
        <v>144</v>
      </c>
      <c r="D2" s="97">
        <v>423.49</v>
      </c>
      <c r="E2" s="20" t="s">
        <v>145</v>
      </c>
      <c r="F2" s="98" t="s">
        <v>53</v>
      </c>
    </row>
    <row r="3" spans="2:11" ht="14.5" customHeight="1" x14ac:dyDescent="0.2">
      <c r="B3" s="86">
        <v>45926</v>
      </c>
      <c r="C3" s="20" t="s">
        <v>199</v>
      </c>
      <c r="D3" s="97">
        <v>5917</v>
      </c>
      <c r="E3" s="20" t="s">
        <v>24</v>
      </c>
      <c r="F3" s="98" t="s">
        <v>53</v>
      </c>
    </row>
    <row r="4" spans="2:11" ht="14.5" customHeight="1" x14ac:dyDescent="0.25">
      <c r="B4" s="86">
        <v>45910</v>
      </c>
      <c r="C4" s="20" t="s">
        <v>198</v>
      </c>
      <c r="D4" s="97">
        <v>2716</v>
      </c>
      <c r="E4" s="20" t="s">
        <v>24</v>
      </c>
      <c r="F4" s="98" t="s">
        <v>53</v>
      </c>
      <c r="G4" s="91"/>
      <c r="H4" s="91"/>
    </row>
    <row r="5" spans="2:11" ht="14.5" customHeight="1" x14ac:dyDescent="0.2">
      <c r="B5" s="86">
        <v>45891</v>
      </c>
      <c r="C5" s="20" t="s">
        <v>195</v>
      </c>
      <c r="D5" s="97">
        <v>3637.5</v>
      </c>
      <c r="E5" s="20" t="s">
        <v>24</v>
      </c>
      <c r="F5" s="98" t="s">
        <v>53</v>
      </c>
      <c r="I5" s="261"/>
      <c r="J5" s="261"/>
      <c r="K5" s="83"/>
    </row>
    <row r="6" spans="2:11" ht="14.5" customHeight="1" x14ac:dyDescent="0.2">
      <c r="B6" s="86">
        <v>45885</v>
      </c>
      <c r="C6" s="20" t="s">
        <v>194</v>
      </c>
      <c r="D6" s="97">
        <v>21825</v>
      </c>
      <c r="E6" s="20" t="s">
        <v>24</v>
      </c>
      <c r="F6" s="98" t="s">
        <v>53</v>
      </c>
      <c r="G6" s="89"/>
      <c r="H6" s="90" t="s">
        <v>10</v>
      </c>
    </row>
    <row r="7" spans="2:11" ht="14.5" customHeight="1" x14ac:dyDescent="0.2">
      <c r="B7" s="86">
        <v>45876</v>
      </c>
      <c r="C7" s="20" t="s">
        <v>193</v>
      </c>
      <c r="D7" s="97">
        <v>3589</v>
      </c>
      <c r="E7" s="20" t="s">
        <v>24</v>
      </c>
      <c r="F7" s="98" t="s">
        <v>53</v>
      </c>
      <c r="G7" s="94" t="s">
        <v>110</v>
      </c>
      <c r="H7" s="95">
        <f>SUMIF(Tableau22[Back],"Yes",Tableau22[Amount])</f>
        <v>504896.9499999999</v>
      </c>
    </row>
    <row r="8" spans="2:11" ht="14.5" customHeight="1" x14ac:dyDescent="0.2">
      <c r="B8" s="86">
        <v>45870</v>
      </c>
      <c r="C8" s="20" t="s">
        <v>192</v>
      </c>
      <c r="D8" s="97">
        <v>9990.9599999999991</v>
      </c>
      <c r="E8" s="20" t="s">
        <v>24</v>
      </c>
      <c r="F8" s="98" t="s">
        <v>53</v>
      </c>
      <c r="G8" s="92" t="s">
        <v>109</v>
      </c>
      <c r="H8" s="93">
        <f>SUMIF(Tableau22[Back],"No",Tableau22[Amount])</f>
        <v>144450.05000000002</v>
      </c>
    </row>
    <row r="9" spans="2:11" ht="14.5" customHeight="1" x14ac:dyDescent="0.2">
      <c r="B9" s="86">
        <v>45790</v>
      </c>
      <c r="C9" s="20" t="s">
        <v>191</v>
      </c>
      <c r="D9" s="97">
        <v>4850</v>
      </c>
      <c r="E9" s="20" t="s">
        <v>24</v>
      </c>
      <c r="F9" s="98" t="s">
        <v>53</v>
      </c>
      <c r="H9" s="139"/>
    </row>
    <row r="10" spans="2:11" ht="14.5" customHeight="1" x14ac:dyDescent="0.2">
      <c r="B10" s="86">
        <v>45781</v>
      </c>
      <c r="C10" s="20" t="s">
        <v>190</v>
      </c>
      <c r="D10" s="97">
        <v>5044</v>
      </c>
      <c r="E10" s="20" t="s">
        <v>24</v>
      </c>
      <c r="F10" s="98" t="s">
        <v>53</v>
      </c>
    </row>
    <row r="11" spans="2:11" ht="14.5" customHeight="1" x14ac:dyDescent="0.2">
      <c r="B11" s="86">
        <v>45772</v>
      </c>
      <c r="C11" s="20" t="s">
        <v>189</v>
      </c>
      <c r="D11" s="97">
        <v>7700</v>
      </c>
      <c r="E11" s="20" t="s">
        <v>25</v>
      </c>
      <c r="F11" s="98" t="s">
        <v>53</v>
      </c>
    </row>
    <row r="12" spans="2:11" ht="14.5" customHeight="1" x14ac:dyDescent="0.2">
      <c r="B12" s="86">
        <v>45749</v>
      </c>
      <c r="C12" s="20" t="s">
        <v>188</v>
      </c>
      <c r="D12" s="97">
        <v>2085.5</v>
      </c>
      <c r="E12" s="20" t="s">
        <v>24</v>
      </c>
      <c r="F12" s="98" t="s">
        <v>53</v>
      </c>
      <c r="H12" s="36"/>
    </row>
    <row r="13" spans="2:11" ht="14.5" customHeight="1" x14ac:dyDescent="0.2">
      <c r="B13" s="86">
        <v>45707</v>
      </c>
      <c r="C13" s="20" t="s">
        <v>187</v>
      </c>
      <c r="D13" s="97">
        <v>9800</v>
      </c>
      <c r="E13" s="20" t="s">
        <v>25</v>
      </c>
      <c r="F13" s="98" t="s">
        <v>53</v>
      </c>
    </row>
    <row r="14" spans="2:11" ht="14.5" customHeight="1" x14ac:dyDescent="0.2">
      <c r="B14" s="86">
        <v>45700</v>
      </c>
      <c r="C14" s="20" t="s">
        <v>187</v>
      </c>
      <c r="D14" s="97">
        <v>4500</v>
      </c>
      <c r="E14" s="20" t="s">
        <v>25</v>
      </c>
      <c r="F14" s="98" t="s">
        <v>53</v>
      </c>
      <c r="H14" s="36"/>
    </row>
    <row r="15" spans="2:11" ht="14.5" customHeight="1" x14ac:dyDescent="0.2">
      <c r="B15" s="86">
        <v>45690</v>
      </c>
      <c r="C15" s="20" t="s">
        <v>131</v>
      </c>
      <c r="D15" s="97">
        <v>9000</v>
      </c>
      <c r="E15" s="20" t="s">
        <v>25</v>
      </c>
      <c r="F15" s="98" t="s">
        <v>53</v>
      </c>
    </row>
    <row r="16" spans="2:11" ht="14.5" customHeight="1" x14ac:dyDescent="0.2">
      <c r="B16" s="86">
        <v>45681</v>
      </c>
      <c r="C16" s="20" t="s">
        <v>186</v>
      </c>
      <c r="D16" s="97">
        <v>20000</v>
      </c>
      <c r="E16" s="20" t="s">
        <v>25</v>
      </c>
      <c r="F16" s="98" t="s">
        <v>53</v>
      </c>
    </row>
    <row r="17" spans="2:12" ht="14.5" customHeight="1" x14ac:dyDescent="0.2">
      <c r="B17" s="86">
        <v>45606</v>
      </c>
      <c r="C17" s="20" t="s">
        <v>182</v>
      </c>
      <c r="D17" s="97">
        <v>4000</v>
      </c>
      <c r="E17" s="20" t="s">
        <v>25</v>
      </c>
      <c r="F17" s="98" t="s">
        <v>53</v>
      </c>
    </row>
    <row r="18" spans="2:12" ht="14.5" customHeight="1" x14ac:dyDescent="0.2">
      <c r="B18" s="86">
        <v>45587</v>
      </c>
      <c r="C18" s="20" t="s">
        <v>179</v>
      </c>
      <c r="D18" s="97">
        <v>7081</v>
      </c>
      <c r="E18" s="20" t="s">
        <v>24</v>
      </c>
      <c r="F18" s="98" t="s">
        <v>53</v>
      </c>
    </row>
    <row r="19" spans="2:12" ht="14.5" customHeight="1" x14ac:dyDescent="0.2">
      <c r="B19" s="86">
        <v>45584</v>
      </c>
      <c r="C19" s="20" t="s">
        <v>181</v>
      </c>
      <c r="D19" s="97">
        <v>2279.5</v>
      </c>
      <c r="E19" s="20" t="s">
        <v>24</v>
      </c>
      <c r="F19" s="98" t="s">
        <v>53</v>
      </c>
    </row>
    <row r="20" spans="2:12" ht="14.5" customHeight="1" x14ac:dyDescent="0.2">
      <c r="B20" s="86">
        <v>45571</v>
      </c>
      <c r="C20" s="20" t="s">
        <v>180</v>
      </c>
      <c r="D20" s="97">
        <v>4607.5</v>
      </c>
      <c r="E20" s="20" t="s">
        <v>17</v>
      </c>
      <c r="F20" s="98" t="s">
        <v>53</v>
      </c>
    </row>
    <row r="21" spans="2:12" ht="14.5" customHeight="1" x14ac:dyDescent="0.2">
      <c r="B21" s="86">
        <v>45542</v>
      </c>
      <c r="C21" s="20" t="s">
        <v>178</v>
      </c>
      <c r="D21" s="97">
        <v>3880</v>
      </c>
      <c r="E21" s="20" t="s">
        <v>24</v>
      </c>
      <c r="F21" s="98" t="s">
        <v>53</v>
      </c>
    </row>
    <row r="22" spans="2:12" ht="14.5" customHeight="1" x14ac:dyDescent="0.2">
      <c r="B22" s="86">
        <v>45517</v>
      </c>
      <c r="C22" s="20" t="s">
        <v>177</v>
      </c>
      <c r="D22" s="97">
        <v>11523.6</v>
      </c>
      <c r="E22" s="20" t="s">
        <v>24</v>
      </c>
      <c r="F22" s="98" t="s">
        <v>53</v>
      </c>
    </row>
    <row r="23" spans="2:12" ht="14.5" customHeight="1" x14ac:dyDescent="0.2">
      <c r="B23" s="86">
        <v>45508</v>
      </c>
      <c r="C23" s="20" t="s">
        <v>176</v>
      </c>
      <c r="D23" s="97">
        <v>3201</v>
      </c>
      <c r="E23" s="20" t="s">
        <v>24</v>
      </c>
      <c r="F23" s="98" t="s">
        <v>47</v>
      </c>
    </row>
    <row r="24" spans="2:12" ht="14.5" customHeight="1" x14ac:dyDescent="0.2">
      <c r="B24" s="86">
        <v>45506</v>
      </c>
      <c r="C24" s="20" t="s">
        <v>174</v>
      </c>
      <c r="D24" s="97">
        <v>8536</v>
      </c>
      <c r="E24" s="20" t="s">
        <v>24</v>
      </c>
      <c r="F24" s="98" t="s">
        <v>47</v>
      </c>
      <c r="H24" s="65"/>
      <c r="I24" s="65"/>
      <c r="J24" s="65"/>
      <c r="K24" s="65"/>
    </row>
    <row r="25" spans="2:12" ht="14.5" customHeight="1" x14ac:dyDescent="0.2">
      <c r="B25" s="86">
        <v>45505</v>
      </c>
      <c r="C25" s="20" t="s">
        <v>175</v>
      </c>
      <c r="D25" s="97">
        <v>4801.5</v>
      </c>
      <c r="E25" s="20" t="s">
        <v>24</v>
      </c>
      <c r="F25" s="98" t="s">
        <v>47</v>
      </c>
      <c r="H25" s="65"/>
      <c r="I25" s="65"/>
      <c r="J25" s="65"/>
      <c r="K25" s="65"/>
    </row>
    <row r="26" spans="2:12" ht="14.5" customHeight="1" x14ac:dyDescent="0.2">
      <c r="B26" s="86">
        <v>45498</v>
      </c>
      <c r="C26" s="20" t="s">
        <v>173</v>
      </c>
      <c r="D26" s="97">
        <v>8536</v>
      </c>
      <c r="E26" s="20" t="s">
        <v>24</v>
      </c>
      <c r="F26" s="98" t="s">
        <v>47</v>
      </c>
      <c r="H26" s="65"/>
      <c r="I26" s="65"/>
      <c r="J26" s="65"/>
      <c r="K26" s="65"/>
    </row>
    <row r="27" spans="2:12" ht="14.5" customHeight="1" x14ac:dyDescent="0.2">
      <c r="B27" s="86">
        <v>45493</v>
      </c>
      <c r="C27" s="20" t="s">
        <v>131</v>
      </c>
      <c r="D27" s="97">
        <v>4800</v>
      </c>
      <c r="E27" s="20" t="s">
        <v>25</v>
      </c>
      <c r="F27" s="98" t="s">
        <v>47</v>
      </c>
      <c r="H27" s="65"/>
      <c r="I27" s="65"/>
      <c r="J27" s="65"/>
      <c r="K27" s="65"/>
    </row>
    <row r="28" spans="2:12" ht="14.5" customHeight="1" x14ac:dyDescent="0.2">
      <c r="B28" s="86">
        <v>45489</v>
      </c>
      <c r="C28" s="20" t="s">
        <v>131</v>
      </c>
      <c r="D28" s="97">
        <v>3000</v>
      </c>
      <c r="E28" s="20" t="s">
        <v>25</v>
      </c>
      <c r="F28" s="98" t="s">
        <v>47</v>
      </c>
      <c r="H28" s="88"/>
      <c r="I28" s="65"/>
      <c r="J28" s="65"/>
      <c r="K28" s="65"/>
    </row>
    <row r="29" spans="2:12" ht="14.5" customHeight="1" x14ac:dyDescent="0.2">
      <c r="B29" s="86">
        <v>45488</v>
      </c>
      <c r="C29" s="20" t="s">
        <v>171</v>
      </c>
      <c r="D29" s="97">
        <v>8250</v>
      </c>
      <c r="E29" s="20" t="s">
        <v>25</v>
      </c>
      <c r="F29" s="98" t="s">
        <v>47</v>
      </c>
      <c r="H29" s="65"/>
      <c r="I29" s="65"/>
      <c r="J29" s="65"/>
      <c r="K29" s="65"/>
    </row>
    <row r="30" spans="2:12" ht="14.5" customHeight="1" x14ac:dyDescent="0.2">
      <c r="B30" s="86">
        <v>45487</v>
      </c>
      <c r="C30" s="20" t="s">
        <v>131</v>
      </c>
      <c r="D30" s="97">
        <v>3000</v>
      </c>
      <c r="E30" s="20" t="s">
        <v>25</v>
      </c>
      <c r="F30" s="98" t="s">
        <v>47</v>
      </c>
      <c r="H30" s="86"/>
      <c r="I30" s="20"/>
      <c r="J30" s="37"/>
      <c r="K30" s="20"/>
      <c r="L30" s="85"/>
    </row>
    <row r="31" spans="2:12" ht="14.5" customHeight="1" x14ac:dyDescent="0.2">
      <c r="B31" s="86">
        <v>45484</v>
      </c>
      <c r="C31" s="20" t="s">
        <v>172</v>
      </c>
      <c r="D31" s="97">
        <v>7200</v>
      </c>
      <c r="E31" s="20" t="s">
        <v>25</v>
      </c>
      <c r="F31" s="98" t="s">
        <v>47</v>
      </c>
      <c r="H31" s="86"/>
      <c r="I31" s="20"/>
      <c r="J31" s="37"/>
      <c r="K31" s="20"/>
      <c r="L31" s="85"/>
    </row>
    <row r="32" spans="2:12" ht="14.5" customHeight="1" x14ac:dyDescent="0.2">
      <c r="B32" s="86">
        <v>45484</v>
      </c>
      <c r="C32" s="20" t="s">
        <v>131</v>
      </c>
      <c r="D32" s="97">
        <v>3000</v>
      </c>
      <c r="E32" s="20" t="s">
        <v>25</v>
      </c>
      <c r="F32" s="98" t="s">
        <v>47</v>
      </c>
      <c r="H32" s="86"/>
      <c r="I32" s="20"/>
      <c r="J32" s="37"/>
      <c r="K32" s="20"/>
      <c r="L32" s="85"/>
    </row>
    <row r="33" spans="2:12" ht="14.5" customHeight="1" x14ac:dyDescent="0.2">
      <c r="B33" s="86">
        <v>45483</v>
      </c>
      <c r="C33" s="20" t="s">
        <v>131</v>
      </c>
      <c r="D33" s="97">
        <v>3000</v>
      </c>
      <c r="E33" s="20" t="s">
        <v>25</v>
      </c>
      <c r="F33" s="98" t="s">
        <v>47</v>
      </c>
      <c r="H33" s="86"/>
      <c r="I33" s="20"/>
      <c r="J33" s="37"/>
      <c r="K33" s="20"/>
      <c r="L33" s="85"/>
    </row>
    <row r="34" spans="2:12" ht="14.5" customHeight="1" x14ac:dyDescent="0.2">
      <c r="B34" s="86">
        <v>45478</v>
      </c>
      <c r="C34" s="20" t="s">
        <v>131</v>
      </c>
      <c r="D34" s="97">
        <v>3610.33</v>
      </c>
      <c r="E34" s="20" t="s">
        <v>25</v>
      </c>
      <c r="F34" s="98" t="s">
        <v>47</v>
      </c>
      <c r="H34" s="86"/>
      <c r="I34" s="20"/>
      <c r="J34" s="37"/>
      <c r="K34" s="20"/>
      <c r="L34" s="85"/>
    </row>
    <row r="35" spans="2:12" ht="14.5" customHeight="1" x14ac:dyDescent="0.2">
      <c r="B35" s="86">
        <v>45474</v>
      </c>
      <c r="C35" s="20" t="s">
        <v>131</v>
      </c>
      <c r="D35" s="97">
        <v>6007.52</v>
      </c>
      <c r="E35" s="20" t="s">
        <v>25</v>
      </c>
      <c r="F35" s="98" t="s">
        <v>47</v>
      </c>
      <c r="H35" s="84"/>
      <c r="I35" s="20"/>
      <c r="J35" s="37"/>
      <c r="K35" s="20"/>
      <c r="L35" s="85"/>
    </row>
    <row r="36" spans="2:12" ht="14.5" customHeight="1" x14ac:dyDescent="0.2">
      <c r="B36" s="86">
        <v>45465</v>
      </c>
      <c r="C36" s="20" t="s">
        <v>170</v>
      </c>
      <c r="D36" s="97">
        <v>2804.8</v>
      </c>
      <c r="E36" s="20" t="s">
        <v>25</v>
      </c>
      <c r="F36" s="98" t="s">
        <v>47</v>
      </c>
      <c r="H36" s="84"/>
      <c r="I36" s="20"/>
      <c r="J36" s="37"/>
      <c r="K36" s="20"/>
      <c r="L36" s="85"/>
    </row>
    <row r="37" spans="2:12" ht="14.5" customHeight="1" x14ac:dyDescent="0.2">
      <c r="B37" s="86">
        <v>45462</v>
      </c>
      <c r="C37" s="20" t="s">
        <v>131</v>
      </c>
      <c r="D37" s="97">
        <v>13004.97</v>
      </c>
      <c r="E37" s="20" t="s">
        <v>25</v>
      </c>
      <c r="F37" s="98" t="s">
        <v>47</v>
      </c>
      <c r="H37" s="86"/>
      <c r="I37" s="20"/>
      <c r="J37" s="37"/>
      <c r="K37" s="20"/>
      <c r="L37" s="85"/>
    </row>
    <row r="38" spans="2:12" ht="14.5" customHeight="1" x14ac:dyDescent="0.2">
      <c r="B38" s="86">
        <v>45456</v>
      </c>
      <c r="C38" s="20" t="s">
        <v>169</v>
      </c>
      <c r="D38" s="97">
        <v>6002.66</v>
      </c>
      <c r="E38" s="20" t="s">
        <v>25</v>
      </c>
      <c r="F38" s="98" t="s">
        <v>47</v>
      </c>
      <c r="H38" s="86"/>
      <c r="I38" s="20"/>
      <c r="J38" s="37"/>
      <c r="K38" s="20"/>
      <c r="L38" s="85"/>
    </row>
    <row r="39" spans="2:12" ht="14.5" customHeight="1" x14ac:dyDescent="0.2">
      <c r="B39" s="86">
        <v>45425</v>
      </c>
      <c r="C39" s="20" t="s">
        <v>165</v>
      </c>
      <c r="D39" s="97">
        <v>2425</v>
      </c>
      <c r="E39" s="20" t="s">
        <v>24</v>
      </c>
      <c r="F39" s="98" t="s">
        <v>47</v>
      </c>
      <c r="H39" s="86"/>
      <c r="I39" s="20"/>
      <c r="J39" s="37"/>
      <c r="K39" s="20"/>
      <c r="L39" s="85"/>
    </row>
    <row r="40" spans="2:12" ht="14.5" customHeight="1" x14ac:dyDescent="0.2">
      <c r="B40" s="86">
        <v>45418</v>
      </c>
      <c r="C40" s="20" t="s">
        <v>164</v>
      </c>
      <c r="D40" s="97">
        <v>3637.5</v>
      </c>
      <c r="E40" s="20" t="s">
        <v>24</v>
      </c>
      <c r="F40" s="98" t="s">
        <v>47</v>
      </c>
      <c r="H40" s="86"/>
      <c r="I40" s="20"/>
      <c r="J40" s="37"/>
      <c r="K40" s="20"/>
      <c r="L40" s="85"/>
    </row>
    <row r="41" spans="2:12" ht="14.5" customHeight="1" x14ac:dyDescent="0.2">
      <c r="B41" s="86">
        <v>45414</v>
      </c>
      <c r="C41" s="20" t="s">
        <v>162</v>
      </c>
      <c r="D41" s="97">
        <v>2425</v>
      </c>
      <c r="E41" s="20" t="s">
        <v>24</v>
      </c>
      <c r="F41" s="98" t="s">
        <v>47</v>
      </c>
      <c r="H41" s="86"/>
      <c r="I41" s="20"/>
      <c r="J41" s="37"/>
      <c r="K41" s="20"/>
      <c r="L41" s="85"/>
    </row>
    <row r="42" spans="2:12" ht="14.5" customHeight="1" x14ac:dyDescent="0.2">
      <c r="B42" s="86">
        <v>45399</v>
      </c>
      <c r="C42" s="20" t="s">
        <v>161</v>
      </c>
      <c r="D42" s="97">
        <v>5917</v>
      </c>
      <c r="E42" s="20" t="s">
        <v>24</v>
      </c>
      <c r="F42" s="98" t="s">
        <v>47</v>
      </c>
      <c r="H42" s="86"/>
      <c r="I42" s="20"/>
      <c r="J42" s="37"/>
      <c r="K42" s="20"/>
      <c r="L42" s="85"/>
    </row>
    <row r="43" spans="2:12" ht="14.5" customHeight="1" x14ac:dyDescent="0.2">
      <c r="B43" s="86">
        <v>45355</v>
      </c>
      <c r="C43" s="20" t="s">
        <v>131</v>
      </c>
      <c r="D43" s="97">
        <v>2550</v>
      </c>
      <c r="E43" s="20" t="s">
        <v>25</v>
      </c>
      <c r="F43" s="98" t="s">
        <v>47</v>
      </c>
      <c r="H43" s="86"/>
      <c r="I43" s="20"/>
      <c r="J43" s="37"/>
      <c r="K43" s="20"/>
      <c r="L43" s="85"/>
    </row>
    <row r="44" spans="2:12" ht="14.5" customHeight="1" x14ac:dyDescent="0.2">
      <c r="B44" s="86">
        <v>45345</v>
      </c>
      <c r="C44" s="20" t="s">
        <v>131</v>
      </c>
      <c r="D44" s="97">
        <v>8540.58</v>
      </c>
      <c r="E44" s="20" t="s">
        <v>25</v>
      </c>
      <c r="F44" s="98" t="s">
        <v>47</v>
      </c>
      <c r="H44" s="86"/>
      <c r="I44" s="20"/>
      <c r="J44" s="37"/>
      <c r="K44" s="20"/>
      <c r="L44" s="85"/>
    </row>
    <row r="45" spans="2:12" ht="14.5" customHeight="1" x14ac:dyDescent="0.2">
      <c r="B45" s="86">
        <v>45259</v>
      </c>
      <c r="C45" s="20" t="s">
        <v>131</v>
      </c>
      <c r="D45" s="97">
        <v>2700</v>
      </c>
      <c r="E45" s="63" t="s">
        <v>25</v>
      </c>
      <c r="F45" s="98" t="s">
        <v>47</v>
      </c>
      <c r="H45" s="86"/>
      <c r="I45" s="20"/>
      <c r="J45" s="37"/>
      <c r="K45" s="20"/>
      <c r="L45" s="85"/>
    </row>
    <row r="46" spans="2:12" ht="14.5" customHeight="1" x14ac:dyDescent="0.2">
      <c r="B46" s="86">
        <v>45250</v>
      </c>
      <c r="C46" s="20" t="s">
        <v>131</v>
      </c>
      <c r="D46" s="97">
        <v>9025</v>
      </c>
      <c r="E46" s="63" t="s">
        <v>25</v>
      </c>
      <c r="F46" s="98" t="s">
        <v>47</v>
      </c>
      <c r="H46" s="86"/>
      <c r="I46" s="20"/>
      <c r="J46" s="37"/>
      <c r="K46" s="20"/>
      <c r="L46" s="85"/>
    </row>
    <row r="47" spans="2:12" ht="14.5" customHeight="1" x14ac:dyDescent="0.2">
      <c r="B47" s="86">
        <v>45236</v>
      </c>
      <c r="C47" s="20" t="s">
        <v>156</v>
      </c>
      <c r="D47" s="97">
        <v>1988.5</v>
      </c>
      <c r="E47" s="20" t="s">
        <v>24</v>
      </c>
      <c r="F47" s="87" t="s">
        <v>47</v>
      </c>
      <c r="H47" s="86"/>
      <c r="I47" s="20"/>
      <c r="J47" s="37"/>
      <c r="K47" s="20"/>
      <c r="L47" s="85"/>
    </row>
    <row r="48" spans="2:12" ht="14.5" customHeight="1" x14ac:dyDescent="0.2">
      <c r="B48" s="86">
        <v>45233</v>
      </c>
      <c r="C48" s="20" t="s">
        <v>153</v>
      </c>
      <c r="D48" s="97">
        <v>12144.4</v>
      </c>
      <c r="E48" s="20" t="s">
        <v>24</v>
      </c>
      <c r="F48" s="98" t="s">
        <v>47</v>
      </c>
      <c r="H48" s="86"/>
      <c r="I48" s="20"/>
      <c r="J48" s="37"/>
      <c r="K48" s="20"/>
      <c r="L48" s="85"/>
    </row>
    <row r="49" spans="2:12" ht="14.5" customHeight="1" x14ac:dyDescent="0.2">
      <c r="B49" s="86">
        <v>45232</v>
      </c>
      <c r="C49" s="20" t="s">
        <v>155</v>
      </c>
      <c r="D49" s="97">
        <v>3855.75</v>
      </c>
      <c r="E49" s="20" t="s">
        <v>24</v>
      </c>
      <c r="F49" s="98" t="s">
        <v>47</v>
      </c>
      <c r="H49" s="86"/>
      <c r="I49" s="20"/>
      <c r="J49" s="37"/>
      <c r="K49" s="20"/>
      <c r="L49" s="85"/>
    </row>
    <row r="50" spans="2:12" ht="14.5" customHeight="1" x14ac:dyDescent="0.2">
      <c r="B50" s="86">
        <v>45228</v>
      </c>
      <c r="C50" s="20" t="s">
        <v>149</v>
      </c>
      <c r="D50" s="97">
        <v>7081</v>
      </c>
      <c r="E50" s="20" t="s">
        <v>24</v>
      </c>
      <c r="F50" s="98" t="s">
        <v>47</v>
      </c>
      <c r="H50" s="86"/>
      <c r="I50" s="20"/>
      <c r="J50" s="37"/>
      <c r="K50" s="20"/>
      <c r="L50" s="85"/>
    </row>
    <row r="51" spans="2:12" ht="14.5" customHeight="1" x14ac:dyDescent="0.2">
      <c r="B51" s="86">
        <v>45207</v>
      </c>
      <c r="C51" s="20" t="s">
        <v>154</v>
      </c>
      <c r="D51" s="97">
        <v>9263.5</v>
      </c>
      <c r="E51" s="20" t="s">
        <v>24</v>
      </c>
      <c r="F51" s="98" t="s">
        <v>47</v>
      </c>
      <c r="H51" s="86"/>
      <c r="I51" s="20"/>
      <c r="J51" s="37"/>
      <c r="K51" s="20"/>
      <c r="L51" s="85"/>
    </row>
    <row r="52" spans="2:12" ht="14.5" customHeight="1" x14ac:dyDescent="0.2">
      <c r="B52" s="86">
        <v>45201</v>
      </c>
      <c r="C52" s="20" t="s">
        <v>152</v>
      </c>
      <c r="D52" s="97">
        <v>4753</v>
      </c>
      <c r="E52" s="20" t="s">
        <v>24</v>
      </c>
      <c r="F52" s="98" t="s">
        <v>47</v>
      </c>
      <c r="H52" s="86"/>
      <c r="I52" s="20"/>
      <c r="J52" s="37"/>
      <c r="K52" s="20"/>
      <c r="L52" s="85"/>
    </row>
    <row r="53" spans="2:12" ht="14.5" customHeight="1" x14ac:dyDescent="0.2">
      <c r="B53" s="86">
        <v>45184</v>
      </c>
      <c r="C53" s="20" t="s">
        <v>151</v>
      </c>
      <c r="D53" s="97">
        <v>6693</v>
      </c>
      <c r="E53" s="20" t="s">
        <v>24</v>
      </c>
      <c r="F53" s="98" t="s">
        <v>47</v>
      </c>
      <c r="H53" s="86"/>
      <c r="I53" s="20"/>
      <c r="J53" s="37"/>
      <c r="K53" s="20"/>
      <c r="L53" s="85"/>
    </row>
    <row r="54" spans="2:12" ht="14.5" customHeight="1" x14ac:dyDescent="0.2">
      <c r="B54" s="86">
        <v>45179</v>
      </c>
      <c r="C54" s="20" t="s">
        <v>150</v>
      </c>
      <c r="D54" s="97">
        <v>7372</v>
      </c>
      <c r="E54" s="20" t="s">
        <v>24</v>
      </c>
      <c r="F54" s="98" t="s">
        <v>47</v>
      </c>
      <c r="H54" s="86"/>
      <c r="I54" s="20"/>
      <c r="J54" s="37"/>
      <c r="K54" s="20"/>
      <c r="L54" s="85"/>
    </row>
    <row r="55" spans="2:12" ht="14.5" customHeight="1" x14ac:dyDescent="0.2">
      <c r="B55" s="86">
        <v>45165</v>
      </c>
      <c r="C55" s="20" t="s">
        <v>148</v>
      </c>
      <c r="D55" s="97">
        <v>8245</v>
      </c>
      <c r="E55" s="20" t="s">
        <v>24</v>
      </c>
      <c r="F55" s="98" t="s">
        <v>47</v>
      </c>
      <c r="H55" s="86"/>
      <c r="I55" s="20"/>
      <c r="J55" s="37"/>
      <c r="K55" s="20"/>
      <c r="L55" s="85"/>
    </row>
    <row r="56" spans="2:12" ht="14.5" customHeight="1" x14ac:dyDescent="0.2">
      <c r="B56" s="86">
        <v>45159</v>
      </c>
      <c r="C56" s="20" t="s">
        <v>146</v>
      </c>
      <c r="D56" s="97">
        <v>12571.2</v>
      </c>
      <c r="E56" s="20" t="s">
        <v>24</v>
      </c>
      <c r="F56" s="98" t="s">
        <v>47</v>
      </c>
      <c r="H56" s="86"/>
      <c r="I56" s="20"/>
      <c r="J56" s="37"/>
      <c r="K56" s="20"/>
      <c r="L56" s="85"/>
    </row>
    <row r="57" spans="2:12" ht="14.5" customHeight="1" x14ac:dyDescent="0.2">
      <c r="B57" s="86">
        <v>45158</v>
      </c>
      <c r="C57" s="20" t="s">
        <v>147</v>
      </c>
      <c r="D57" s="97">
        <v>10476</v>
      </c>
      <c r="E57" s="20" t="s">
        <v>24</v>
      </c>
      <c r="F57" s="98" t="s">
        <v>47</v>
      </c>
      <c r="H57" s="86"/>
      <c r="I57" s="20"/>
      <c r="J57" s="37"/>
      <c r="K57" s="20"/>
      <c r="L57" s="85"/>
    </row>
    <row r="58" spans="2:12" ht="14.5" customHeight="1" x14ac:dyDescent="0.2">
      <c r="B58" s="86">
        <v>45154</v>
      </c>
      <c r="C58" s="20" t="s">
        <v>133</v>
      </c>
      <c r="D58" s="97">
        <v>8633</v>
      </c>
      <c r="E58" s="20" t="s">
        <v>24</v>
      </c>
      <c r="F58" s="98" t="s">
        <v>47</v>
      </c>
    </row>
    <row r="59" spans="2:12" ht="14.5" customHeight="1" x14ac:dyDescent="0.2">
      <c r="B59" s="86">
        <v>45151</v>
      </c>
      <c r="C59" s="20" t="s">
        <v>132</v>
      </c>
      <c r="D59" s="97">
        <v>9428.4</v>
      </c>
      <c r="E59" s="20" t="s">
        <v>24</v>
      </c>
      <c r="F59" s="98" t="s">
        <v>47</v>
      </c>
    </row>
    <row r="60" spans="2:12" ht="18" x14ac:dyDescent="0.2">
      <c r="B60" s="86">
        <v>45150</v>
      </c>
      <c r="C60" s="20" t="s">
        <v>143</v>
      </c>
      <c r="D60" s="97">
        <v>10282</v>
      </c>
      <c r="E60" s="20" t="s">
        <v>24</v>
      </c>
      <c r="F60" s="85" t="s">
        <v>47</v>
      </c>
    </row>
    <row r="61" spans="2:12" ht="18" x14ac:dyDescent="0.2">
      <c r="B61" s="86">
        <v>45149</v>
      </c>
      <c r="C61" s="20" t="s">
        <v>142</v>
      </c>
      <c r="D61" s="97">
        <v>9700</v>
      </c>
      <c r="E61" s="20" t="s">
        <v>24</v>
      </c>
      <c r="F61" s="98" t="s">
        <v>47</v>
      </c>
    </row>
    <row r="62" spans="2:12" ht="18" x14ac:dyDescent="0.2">
      <c r="B62" s="86">
        <v>45142</v>
      </c>
      <c r="C62" s="20" t="s">
        <v>134</v>
      </c>
      <c r="D62" s="97">
        <v>18721</v>
      </c>
      <c r="E62" s="20" t="s">
        <v>24</v>
      </c>
      <c r="F62" s="98" t="s">
        <v>47</v>
      </c>
    </row>
    <row r="63" spans="2:12" ht="14.5" customHeight="1" x14ac:dyDescent="0.2">
      <c r="B63" s="86">
        <v>45140</v>
      </c>
      <c r="C63" s="20" t="s">
        <v>141</v>
      </c>
      <c r="D63" s="97">
        <v>12920.4</v>
      </c>
      <c r="E63" s="20" t="s">
        <v>17</v>
      </c>
      <c r="F63" s="98" t="s">
        <v>47</v>
      </c>
      <c r="H63" s="86"/>
      <c r="I63" s="20"/>
      <c r="J63" s="37"/>
      <c r="K63" s="20"/>
      <c r="L63" s="85"/>
    </row>
    <row r="64" spans="2:12" ht="18" x14ac:dyDescent="0.2">
      <c r="B64" s="86">
        <v>45139</v>
      </c>
      <c r="C64" s="20" t="s">
        <v>139</v>
      </c>
      <c r="D64" s="97">
        <v>3637.5</v>
      </c>
      <c r="E64" s="20" t="s">
        <v>12</v>
      </c>
      <c r="F64" s="98" t="s">
        <v>47</v>
      </c>
    </row>
    <row r="65" spans="2:6" ht="18" x14ac:dyDescent="0.2">
      <c r="B65" s="86">
        <v>45138</v>
      </c>
      <c r="C65" s="20" t="s">
        <v>138</v>
      </c>
      <c r="D65" s="97">
        <v>9069.5</v>
      </c>
      <c r="E65" s="20" t="s">
        <v>24</v>
      </c>
      <c r="F65" s="98" t="s">
        <v>47</v>
      </c>
    </row>
    <row r="66" spans="2:6" ht="18" x14ac:dyDescent="0.2">
      <c r="B66" s="86">
        <v>45136</v>
      </c>
      <c r="C66" s="20" t="s">
        <v>140</v>
      </c>
      <c r="D66" s="97">
        <v>4850</v>
      </c>
      <c r="E66" s="20" t="s">
        <v>24</v>
      </c>
      <c r="F66" s="98" t="s">
        <v>47</v>
      </c>
    </row>
    <row r="67" spans="2:6" ht="18" x14ac:dyDescent="0.2">
      <c r="B67" s="86">
        <v>45115</v>
      </c>
      <c r="C67" s="20" t="s">
        <v>137</v>
      </c>
      <c r="D67" s="97">
        <v>13004</v>
      </c>
      <c r="E67" s="20" t="s">
        <v>25</v>
      </c>
      <c r="F67" s="98" t="s">
        <v>47</v>
      </c>
    </row>
    <row r="68" spans="2:6" ht="18" x14ac:dyDescent="0.2">
      <c r="B68" s="86">
        <v>45114</v>
      </c>
      <c r="C68" s="20" t="s">
        <v>136</v>
      </c>
      <c r="D68" s="97">
        <v>5432</v>
      </c>
      <c r="E68" s="20" t="s">
        <v>25</v>
      </c>
      <c r="F68" s="98" t="s">
        <v>47</v>
      </c>
    </row>
    <row r="69" spans="2:6" ht="18" x14ac:dyDescent="0.2">
      <c r="B69" s="86">
        <v>45111</v>
      </c>
      <c r="C69" s="20" t="s">
        <v>131</v>
      </c>
      <c r="D69" s="97">
        <v>13004</v>
      </c>
      <c r="E69" s="20" t="s">
        <v>25</v>
      </c>
      <c r="F69" s="98" t="s">
        <v>47</v>
      </c>
    </row>
    <row r="70" spans="2:6" ht="18" x14ac:dyDescent="0.2">
      <c r="B70" s="86">
        <v>45103</v>
      </c>
      <c r="C70" s="20" t="s">
        <v>131</v>
      </c>
      <c r="D70" s="97">
        <v>12616.76</v>
      </c>
      <c r="E70" s="20" t="s">
        <v>25</v>
      </c>
      <c r="F70" s="98" t="s">
        <v>47</v>
      </c>
    </row>
    <row r="71" spans="2:6" ht="18" x14ac:dyDescent="0.2">
      <c r="B71" s="86">
        <v>45084</v>
      </c>
      <c r="C71" s="20" t="s">
        <v>23</v>
      </c>
      <c r="D71" s="97">
        <v>12577.94</v>
      </c>
      <c r="E71" s="20" t="s">
        <v>25</v>
      </c>
      <c r="F71" s="98" t="s">
        <v>47</v>
      </c>
    </row>
    <row r="72" spans="2:6" ht="18" x14ac:dyDescent="0.2">
      <c r="B72" s="86">
        <v>45077</v>
      </c>
      <c r="C72" s="20" t="s">
        <v>107</v>
      </c>
      <c r="D72" s="97">
        <v>6914.16</v>
      </c>
      <c r="E72" s="20" t="s">
        <v>24</v>
      </c>
      <c r="F72" s="87" t="s">
        <v>47</v>
      </c>
    </row>
    <row r="73" spans="2:6" ht="18" x14ac:dyDescent="0.2">
      <c r="B73" s="86">
        <v>45072</v>
      </c>
      <c r="C73" s="86" t="s">
        <v>118</v>
      </c>
      <c r="D73" s="97">
        <v>4345.6000000000004</v>
      </c>
      <c r="E73" s="20" t="s">
        <v>24</v>
      </c>
      <c r="F73" s="98" t="s">
        <v>47</v>
      </c>
    </row>
    <row r="74" spans="2:6" ht="18" x14ac:dyDescent="0.2">
      <c r="B74" s="86">
        <v>45053</v>
      </c>
      <c r="C74" s="20" t="s">
        <v>117</v>
      </c>
      <c r="D74" s="97">
        <v>3589</v>
      </c>
      <c r="E74" s="20" t="s">
        <v>24</v>
      </c>
      <c r="F74" s="98" t="s">
        <v>47</v>
      </c>
    </row>
    <row r="75" spans="2:6" ht="18" x14ac:dyDescent="0.2">
      <c r="B75" s="86">
        <v>45052</v>
      </c>
      <c r="C75" s="20" t="s">
        <v>115</v>
      </c>
      <c r="D75" s="97">
        <v>2473.5</v>
      </c>
      <c r="E75" s="20" t="s">
        <v>24</v>
      </c>
      <c r="F75" s="98" t="s">
        <v>47</v>
      </c>
    </row>
    <row r="76" spans="2:6" ht="18" x14ac:dyDescent="0.2">
      <c r="B76" s="86">
        <v>45049</v>
      </c>
      <c r="C76" s="20" t="s">
        <v>113</v>
      </c>
      <c r="D76" s="97">
        <v>2619</v>
      </c>
      <c r="E76" s="20" t="s">
        <v>24</v>
      </c>
      <c r="F76" s="98" t="s">
        <v>47</v>
      </c>
    </row>
    <row r="77" spans="2:6" ht="18" x14ac:dyDescent="0.2">
      <c r="B77" s="86">
        <v>45048</v>
      </c>
      <c r="C77" s="20" t="s">
        <v>106</v>
      </c>
      <c r="D77" s="97">
        <v>8827</v>
      </c>
      <c r="E77" s="20" t="s">
        <v>24</v>
      </c>
      <c r="F77" s="87" t="s">
        <v>47</v>
      </c>
    </row>
    <row r="78" spans="2:6" ht="18" x14ac:dyDescent="0.2">
      <c r="B78" s="86">
        <v>45048</v>
      </c>
      <c r="C78" s="20" t="s">
        <v>116</v>
      </c>
      <c r="D78" s="97">
        <v>1697.5</v>
      </c>
      <c r="E78" s="20" t="s">
        <v>24</v>
      </c>
      <c r="F78" s="98" t="s">
        <v>47</v>
      </c>
    </row>
    <row r="79" spans="2:6" ht="18" x14ac:dyDescent="0.2">
      <c r="B79" s="86">
        <v>45047</v>
      </c>
      <c r="C79" s="20" t="s">
        <v>114</v>
      </c>
      <c r="D79" s="97">
        <v>3589</v>
      </c>
      <c r="E79" s="20" t="s">
        <v>24</v>
      </c>
      <c r="F79" s="98" t="s">
        <v>47</v>
      </c>
    </row>
    <row r="80" spans="2:6" ht="18" x14ac:dyDescent="0.2">
      <c r="B80" s="86">
        <v>45047</v>
      </c>
      <c r="C80" s="20" t="s">
        <v>111</v>
      </c>
      <c r="D80" s="97">
        <v>1358</v>
      </c>
      <c r="E80" s="20" t="s">
        <v>24</v>
      </c>
      <c r="F80" s="98" t="s">
        <v>47</v>
      </c>
    </row>
    <row r="81" spans="2:6" ht="18" x14ac:dyDescent="0.2">
      <c r="B81" s="86">
        <v>45046</v>
      </c>
      <c r="C81" s="20" t="s">
        <v>112</v>
      </c>
      <c r="D81" s="97">
        <v>2260.1</v>
      </c>
      <c r="E81" s="20" t="s">
        <v>24</v>
      </c>
      <c r="F81" s="98" t="s">
        <v>47</v>
      </c>
    </row>
    <row r="82" spans="2:6" ht="18" x14ac:dyDescent="0.2">
      <c r="B82" s="86">
        <v>45040</v>
      </c>
      <c r="C82" s="20" t="s">
        <v>108</v>
      </c>
      <c r="D82" s="97">
        <v>2376.5</v>
      </c>
      <c r="E82" s="20" t="s">
        <v>24</v>
      </c>
      <c r="F82" s="87" t="s">
        <v>47</v>
      </c>
    </row>
    <row r="83" spans="2:6" ht="18" x14ac:dyDescent="0.2">
      <c r="B83" s="86">
        <v>45010</v>
      </c>
      <c r="C83" s="20" t="s">
        <v>94</v>
      </c>
      <c r="D83" s="97">
        <v>873</v>
      </c>
      <c r="E83" s="20" t="s">
        <v>24</v>
      </c>
      <c r="F83" s="87" t="s">
        <v>47</v>
      </c>
    </row>
    <row r="84" spans="2:6" ht="18" x14ac:dyDescent="0.2">
      <c r="B84" s="86">
        <v>45009</v>
      </c>
      <c r="C84" s="20" t="s">
        <v>93</v>
      </c>
      <c r="D84" s="97">
        <v>1697.5</v>
      </c>
      <c r="E84" s="20" t="s">
        <v>24</v>
      </c>
      <c r="F84" s="87" t="s">
        <v>47</v>
      </c>
    </row>
    <row r="85" spans="2:6" ht="18" x14ac:dyDescent="0.2">
      <c r="B85" s="86">
        <v>45003</v>
      </c>
      <c r="C85" s="20" t="s">
        <v>91</v>
      </c>
      <c r="D85" s="97">
        <v>1697.5</v>
      </c>
      <c r="E85" s="20" t="s">
        <v>24</v>
      </c>
      <c r="F85" s="87" t="s">
        <v>47</v>
      </c>
    </row>
    <row r="86" spans="2:6" ht="18" x14ac:dyDescent="0.2">
      <c r="B86" s="86">
        <v>45002</v>
      </c>
      <c r="C86" s="20" t="s">
        <v>92</v>
      </c>
      <c r="D86" s="97">
        <v>2279.5</v>
      </c>
      <c r="E86" s="20" t="s">
        <v>24</v>
      </c>
      <c r="F86" s="87" t="s">
        <v>47</v>
      </c>
    </row>
    <row r="87" spans="2:6" ht="18" x14ac:dyDescent="0.2">
      <c r="B87" s="86">
        <v>44989</v>
      </c>
      <c r="C87" s="20" t="s">
        <v>90</v>
      </c>
      <c r="D87" s="97">
        <v>1680</v>
      </c>
      <c r="E87" s="20" t="s">
        <v>24</v>
      </c>
      <c r="F87" s="87" t="s">
        <v>47</v>
      </c>
    </row>
    <row r="88" spans="2:6" ht="18" x14ac:dyDescent="0.2">
      <c r="B88" s="86">
        <v>44982</v>
      </c>
      <c r="C88" s="20" t="s">
        <v>56</v>
      </c>
      <c r="D88" s="97">
        <v>4454.24</v>
      </c>
      <c r="E88" s="20" t="s">
        <v>24</v>
      </c>
      <c r="F88" s="87" t="s">
        <v>47</v>
      </c>
    </row>
    <row r="89" spans="2:6" ht="18" x14ac:dyDescent="0.2">
      <c r="B89" s="86">
        <v>44968</v>
      </c>
      <c r="C89" s="20" t="s">
        <v>54</v>
      </c>
      <c r="D89" s="97">
        <v>4850</v>
      </c>
      <c r="E89" s="20" t="s">
        <v>25</v>
      </c>
      <c r="F89" s="87" t="s">
        <v>47</v>
      </c>
    </row>
    <row r="90" spans="2:6" ht="18" x14ac:dyDescent="0.2">
      <c r="B90" s="86">
        <v>44963</v>
      </c>
      <c r="C90" s="20" t="s">
        <v>55</v>
      </c>
      <c r="D90" s="97">
        <v>1794.5</v>
      </c>
      <c r="E90" s="20" t="s">
        <v>24</v>
      </c>
      <c r="F90" s="87" t="s">
        <v>47</v>
      </c>
    </row>
    <row r="91" spans="2:6" ht="18" x14ac:dyDescent="0.2">
      <c r="B91" s="86">
        <v>44954</v>
      </c>
      <c r="C91" s="20" t="s">
        <v>50</v>
      </c>
      <c r="D91" s="97">
        <v>8827</v>
      </c>
      <c r="E91" s="20" t="s">
        <v>24</v>
      </c>
      <c r="F91" s="87" t="s">
        <v>47</v>
      </c>
    </row>
    <row r="92" spans="2:6" ht="18" x14ac:dyDescent="0.2">
      <c r="B92" s="86">
        <v>44949</v>
      </c>
      <c r="C92" s="20" t="s">
        <v>54</v>
      </c>
      <c r="D92" s="97">
        <v>13200</v>
      </c>
      <c r="E92" s="20" t="s">
        <v>25</v>
      </c>
      <c r="F92" s="87" t="s">
        <v>47</v>
      </c>
    </row>
    <row r="93" spans="2:6" ht="18" x14ac:dyDescent="0.2">
      <c r="B93" s="86">
        <v>44938</v>
      </c>
      <c r="C93" s="20" t="s">
        <v>52</v>
      </c>
      <c r="D93" s="97">
        <v>3589</v>
      </c>
      <c r="E93" s="20" t="s">
        <v>24</v>
      </c>
      <c r="F93" s="87" t="s">
        <v>47</v>
      </c>
    </row>
    <row r="94" spans="2:6" ht="18" x14ac:dyDescent="0.2">
      <c r="B94" s="86">
        <v>44927</v>
      </c>
      <c r="C94" s="20" t="s">
        <v>45</v>
      </c>
      <c r="D94" s="97">
        <v>1988.5</v>
      </c>
      <c r="E94" s="20" t="s">
        <v>24</v>
      </c>
      <c r="F94" s="87" t="s">
        <v>47</v>
      </c>
    </row>
    <row r="95" spans="2:6" ht="18" x14ac:dyDescent="0.2">
      <c r="B95" s="86">
        <v>44925</v>
      </c>
      <c r="C95" s="20" t="s">
        <v>43</v>
      </c>
      <c r="D95" s="97">
        <v>2842.1</v>
      </c>
      <c r="E95" s="20" t="s">
        <v>24</v>
      </c>
      <c r="F95" s="87" t="s">
        <v>47</v>
      </c>
    </row>
    <row r="96" spans="2:6" ht="18" x14ac:dyDescent="0.2">
      <c r="B96" s="86">
        <v>44914</v>
      </c>
      <c r="C96" s="20" t="s">
        <v>42</v>
      </c>
      <c r="D96" s="97">
        <v>2430.16</v>
      </c>
      <c r="E96" s="20" t="s">
        <v>24</v>
      </c>
      <c r="F96" s="87" t="s">
        <v>47</v>
      </c>
    </row>
    <row r="97" spans="2:6" ht="18" x14ac:dyDescent="0.2">
      <c r="B97" s="86">
        <v>44913</v>
      </c>
      <c r="C97" s="20" t="s">
        <v>42</v>
      </c>
      <c r="D97" s="97">
        <v>5000</v>
      </c>
      <c r="E97" s="20" t="s">
        <v>24</v>
      </c>
      <c r="F97" s="87" t="s">
        <v>47</v>
      </c>
    </row>
    <row r="98" spans="2:6" ht="18" x14ac:dyDescent="0.2">
      <c r="B98" s="86">
        <v>44908</v>
      </c>
      <c r="C98" s="20" t="s">
        <v>41</v>
      </c>
      <c r="D98" s="97">
        <v>4442.58</v>
      </c>
      <c r="E98" s="20" t="s">
        <v>24</v>
      </c>
      <c r="F98" s="87" t="s">
        <v>47</v>
      </c>
    </row>
    <row r="99" spans="2:6" ht="18" x14ac:dyDescent="0.2">
      <c r="B99" s="86">
        <v>44898</v>
      </c>
      <c r="C99" s="20" t="s">
        <v>23</v>
      </c>
      <c r="D99" s="97">
        <v>5823.12</v>
      </c>
      <c r="E99" s="20" t="s">
        <v>25</v>
      </c>
      <c r="F99" s="87" t="s">
        <v>47</v>
      </c>
    </row>
    <row r="100" spans="2:6" ht="18" x14ac:dyDescent="0.2">
      <c r="B100" s="86">
        <v>44896</v>
      </c>
      <c r="C100" s="20" t="s">
        <v>23</v>
      </c>
      <c r="D100" s="97">
        <v>2182.5</v>
      </c>
      <c r="E100" s="20" t="s">
        <v>24</v>
      </c>
      <c r="F100" s="87" t="s">
        <v>47</v>
      </c>
    </row>
    <row r="101" spans="2:6" ht="18" x14ac:dyDescent="0.2">
      <c r="B101" s="86">
        <v>44882</v>
      </c>
      <c r="C101" s="20" t="s">
        <v>16</v>
      </c>
      <c r="D101" s="97">
        <v>2570.5</v>
      </c>
      <c r="E101" s="20" t="s">
        <v>17</v>
      </c>
      <c r="F101" s="87" t="s">
        <v>47</v>
      </c>
    </row>
    <row r="102" spans="2:6" ht="18" x14ac:dyDescent="0.2">
      <c r="B102" s="86">
        <v>44871</v>
      </c>
      <c r="C102" s="20" t="s">
        <v>20</v>
      </c>
      <c r="D102" s="97">
        <v>6400.2</v>
      </c>
      <c r="E102" s="20" t="s">
        <v>21</v>
      </c>
      <c r="F102" s="87" t="s">
        <v>47</v>
      </c>
    </row>
    <row r="103" spans="2:6" ht="18" x14ac:dyDescent="0.2">
      <c r="B103" s="84">
        <v>44866</v>
      </c>
      <c r="C103" s="20" t="s">
        <v>22</v>
      </c>
      <c r="D103" s="97">
        <v>10000</v>
      </c>
      <c r="E103" s="20" t="s">
        <v>25</v>
      </c>
      <c r="F103" s="87" t="s">
        <v>47</v>
      </c>
    </row>
    <row r="104" spans="2:6" ht="18" x14ac:dyDescent="0.2">
      <c r="B104" s="86">
        <v>44863</v>
      </c>
      <c r="C104" s="20" t="s">
        <v>19</v>
      </c>
      <c r="D104" s="97">
        <v>3006.9900000000002</v>
      </c>
      <c r="E104" s="20" t="s">
        <v>12</v>
      </c>
      <c r="F104" s="87" t="s">
        <v>47</v>
      </c>
    </row>
    <row r="105" spans="2:6" ht="18" x14ac:dyDescent="0.2">
      <c r="B105" s="86">
        <v>44862</v>
      </c>
      <c r="C105" s="20" t="s">
        <v>18</v>
      </c>
      <c r="D105" s="97">
        <v>5335</v>
      </c>
      <c r="E105" s="20" t="s">
        <v>12</v>
      </c>
      <c r="F105" s="87" t="s">
        <v>47</v>
      </c>
    </row>
    <row r="106" spans="2:6" ht="18" x14ac:dyDescent="0.2">
      <c r="B106" s="86">
        <v>44857</v>
      </c>
      <c r="C106" s="20" t="s">
        <v>44</v>
      </c>
      <c r="D106" s="97">
        <v>3588.99</v>
      </c>
      <c r="E106" s="20" t="s">
        <v>17</v>
      </c>
      <c r="F106" s="87" t="s">
        <v>47</v>
      </c>
    </row>
    <row r="107" spans="2:6" ht="18" x14ac:dyDescent="0.2">
      <c r="B107" s="84">
        <v>44835</v>
      </c>
      <c r="C107" s="20" t="s">
        <v>22</v>
      </c>
      <c r="D107" s="97">
        <v>10000</v>
      </c>
      <c r="E107" s="20" t="s">
        <v>25</v>
      </c>
      <c r="F107" s="87" t="s">
        <v>47</v>
      </c>
    </row>
  </sheetData>
  <mergeCells count="1">
    <mergeCell ref="I5:J5"/>
  </mergeCells>
  <phoneticPr fontId="22" type="noConversion"/>
  <conditionalFormatting sqref="F2:F107">
    <cfRule type="containsText" dxfId="8" priority="1" operator="containsText" text="No">
      <formula>NOT(ISERROR(SEARCH("No",F2)))</formula>
    </cfRule>
  </conditionalFormatting>
  <dataValidations count="3">
    <dataValidation type="list" allowBlank="1" showInputMessage="1" showErrorMessage="1" sqref="L30 L32:L38 F2:F9" xr:uid="{C040B4F9-02D7-2B46-8D73-90F3933BB4E1}">
      <formula1>"Yes, No"</formula1>
    </dataValidation>
    <dataValidation type="list" allowBlank="1" showInputMessage="1" showErrorMessage="1" sqref="L31" xr:uid="{54CE04F3-8F89-D646-AE40-B94C102301E6}">
      <formula1>"YES,NO"</formula1>
    </dataValidation>
    <dataValidation type="list" allowBlank="1" showInputMessage="1" showErrorMessage="1" sqref="L39:L57 F10:F28" xr:uid="{F5D4AEF3-9F1F-204D-B15B-2DEC3ED27F25}">
      <formula1>"Yes,No"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650E7-7F1A-4739-AE3B-4BCDA87D8763}">
  <sheetPr codeName="Feuil1">
    <tabColor rgb="FF00B0F0"/>
  </sheetPr>
  <dimension ref="A1:N53"/>
  <sheetViews>
    <sheetView showGridLines="0" zoomScale="109" zoomScaleNormal="110" workbookViewId="0">
      <selection activeCell="F25" sqref="F25"/>
    </sheetView>
  </sheetViews>
  <sheetFormatPr baseColWidth="10" defaultColWidth="15.6640625" defaultRowHeight="15" x14ac:dyDescent="0.2"/>
  <cols>
    <col min="1" max="1" width="22.6640625" customWidth="1"/>
    <col min="2" max="2" width="20.5" customWidth="1"/>
    <col min="3" max="3" width="21.5" customWidth="1"/>
    <col min="4" max="4" width="16.6640625" customWidth="1"/>
    <col min="5" max="5" width="7.6640625" style="20" customWidth="1"/>
    <col min="6" max="6" width="24.1640625" style="20" customWidth="1"/>
    <col min="7" max="7" width="33.33203125" style="228" customWidth="1"/>
    <col min="8" max="8" width="15.1640625" style="20" customWidth="1"/>
    <col min="10" max="10" width="19.83203125" customWidth="1"/>
  </cols>
  <sheetData>
    <row r="1" spans="1:14" ht="17" thickBot="1" x14ac:dyDescent="0.25">
      <c r="A1" s="21" t="s">
        <v>26</v>
      </c>
      <c r="B1" s="30">
        <v>70627.579999999987</v>
      </c>
    </row>
    <row r="2" spans="1:14" ht="17" customHeight="1" thickBot="1" x14ac:dyDescent="0.25">
      <c r="F2" s="22" t="s">
        <v>27</v>
      </c>
    </row>
    <row r="3" spans="1:14" ht="17" customHeight="1" thickBot="1" x14ac:dyDescent="0.25">
      <c r="B3" s="145" t="s">
        <v>28</v>
      </c>
      <c r="C3" s="38" t="s">
        <v>29</v>
      </c>
      <c r="D3" s="39" t="s">
        <v>30</v>
      </c>
      <c r="F3" s="23" t="s">
        <v>13</v>
      </c>
      <c r="G3" s="229" t="s">
        <v>31</v>
      </c>
      <c r="H3" s="24" t="s">
        <v>196</v>
      </c>
      <c r="I3" s="25" t="s">
        <v>197</v>
      </c>
    </row>
    <row r="4" spans="1:14" ht="17" customHeight="1" thickBot="1" x14ac:dyDescent="0.25">
      <c r="B4" s="146" t="s">
        <v>32</v>
      </c>
      <c r="C4" s="147">
        <v>4500</v>
      </c>
      <c r="D4" s="148"/>
      <c r="F4" s="279"/>
      <c r="G4" s="226"/>
      <c r="H4" s="19"/>
      <c r="I4" s="231"/>
      <c r="J4" s="40" t="s">
        <v>49</v>
      </c>
    </row>
    <row r="5" spans="1:14" ht="17" customHeight="1" x14ac:dyDescent="0.2">
      <c r="B5" s="149" t="s">
        <v>33</v>
      </c>
      <c r="C5" s="150">
        <v>2400</v>
      </c>
      <c r="D5" s="151"/>
      <c r="F5" s="280"/>
      <c r="G5" s="226"/>
      <c r="H5" s="19"/>
      <c r="I5" s="231"/>
      <c r="K5" s="264"/>
      <c r="L5" s="265"/>
      <c r="M5" s="265"/>
      <c r="N5" s="266"/>
    </row>
    <row r="6" spans="1:14" ht="17" customHeight="1" x14ac:dyDescent="0.2">
      <c r="B6" s="149" t="s">
        <v>34</v>
      </c>
      <c r="C6" s="150"/>
      <c r="D6" s="151"/>
      <c r="F6" s="280"/>
      <c r="G6" s="226"/>
      <c r="H6" s="19"/>
      <c r="I6" s="231"/>
      <c r="K6" s="267"/>
      <c r="L6" s="268"/>
      <c r="M6" s="268"/>
      <c r="N6" s="269"/>
    </row>
    <row r="7" spans="1:14" ht="17" customHeight="1" x14ac:dyDescent="0.2">
      <c r="B7" s="149" t="s">
        <v>35</v>
      </c>
      <c r="C7" s="150"/>
      <c r="D7" s="151"/>
      <c r="F7" s="280"/>
      <c r="G7" s="226"/>
      <c r="H7" s="19"/>
      <c r="I7" s="231"/>
      <c r="K7" s="267"/>
      <c r="L7" s="268"/>
      <c r="M7" s="268"/>
      <c r="N7" s="269"/>
    </row>
    <row r="8" spans="1:14" ht="45" customHeight="1" x14ac:dyDescent="0.2">
      <c r="B8" s="227" t="s">
        <v>36</v>
      </c>
      <c r="C8" s="150">
        <v>5500</v>
      </c>
      <c r="D8" s="151"/>
      <c r="F8" s="280"/>
      <c r="G8" s="226"/>
      <c r="H8" s="19"/>
      <c r="I8" s="231"/>
      <c r="K8" s="267"/>
      <c r="L8" s="268"/>
      <c r="M8" s="268"/>
      <c r="N8" s="269"/>
    </row>
    <row r="9" spans="1:14" ht="16" x14ac:dyDescent="0.2">
      <c r="B9" s="149" t="s">
        <v>37</v>
      </c>
      <c r="C9" s="150">
        <v>3400</v>
      </c>
      <c r="D9" s="151"/>
      <c r="F9" s="280"/>
      <c r="G9" s="226"/>
      <c r="H9" s="19"/>
      <c r="I9" s="231"/>
      <c r="K9" s="267"/>
      <c r="L9" s="268"/>
      <c r="M9" s="268"/>
      <c r="N9" s="269"/>
    </row>
    <row r="10" spans="1:14" ht="16" x14ac:dyDescent="0.2">
      <c r="B10" s="149" t="s">
        <v>38</v>
      </c>
      <c r="C10" s="150">
        <v>16300</v>
      </c>
      <c r="D10" s="151"/>
      <c r="F10" s="280"/>
      <c r="G10" s="226"/>
      <c r="H10" s="19"/>
      <c r="I10" s="231"/>
      <c r="K10" s="267"/>
      <c r="L10" s="268"/>
      <c r="M10" s="268"/>
      <c r="N10" s="269"/>
    </row>
    <row r="11" spans="1:14" ht="17" customHeight="1" thickBot="1" x14ac:dyDescent="0.25">
      <c r="B11" s="152" t="s">
        <v>46</v>
      </c>
      <c r="C11" s="151"/>
      <c r="D11" s="151"/>
      <c r="F11" s="280"/>
      <c r="G11" s="226"/>
      <c r="H11" s="19"/>
      <c r="I11" s="231"/>
      <c r="K11" s="270"/>
      <c r="L11" s="271"/>
      <c r="M11" s="271"/>
      <c r="N11" s="272"/>
    </row>
    <row r="12" spans="1:14" ht="16" x14ac:dyDescent="0.2">
      <c r="B12" s="149" t="s">
        <v>96</v>
      </c>
      <c r="C12" s="153"/>
      <c r="D12" s="151"/>
      <c r="F12" s="280"/>
      <c r="G12" s="226"/>
      <c r="H12" s="19"/>
      <c r="I12" s="231"/>
    </row>
    <row r="13" spans="1:14" ht="16" x14ac:dyDescent="0.2">
      <c r="B13" s="149" t="s">
        <v>95</v>
      </c>
      <c r="C13" s="153"/>
      <c r="D13" s="151"/>
      <c r="F13" s="280"/>
      <c r="G13" s="226"/>
      <c r="H13" s="19"/>
      <c r="I13" s="231"/>
    </row>
    <row r="14" spans="1:14" ht="20" thickBot="1" x14ac:dyDescent="0.25">
      <c r="B14" s="159" t="s">
        <v>39</v>
      </c>
      <c r="C14" s="154">
        <f>SUM(C4:C11)</f>
        <v>32100</v>
      </c>
      <c r="D14" s="155">
        <f>SUM(D4:D13)</f>
        <v>0</v>
      </c>
      <c r="F14" s="280"/>
      <c r="G14" s="226"/>
      <c r="H14" s="19"/>
      <c r="I14" s="231"/>
    </row>
    <row r="15" spans="1:14" x14ac:dyDescent="0.2">
      <c r="F15" s="280"/>
      <c r="G15" s="226"/>
      <c r="H15" s="19"/>
      <c r="I15" s="231"/>
    </row>
    <row r="16" spans="1:14" x14ac:dyDescent="0.2">
      <c r="F16" s="280"/>
      <c r="G16" s="226"/>
      <c r="H16" s="19"/>
      <c r="I16" s="231"/>
      <c r="J16" s="175"/>
    </row>
    <row r="17" spans="1:11" ht="15.5" customHeight="1" x14ac:dyDescent="0.2">
      <c r="F17" s="280"/>
      <c r="G17" s="226"/>
      <c r="H17" s="19"/>
      <c r="I17" s="231"/>
      <c r="J17" s="175"/>
    </row>
    <row r="18" spans="1:11" ht="14.5" customHeight="1" x14ac:dyDescent="0.25">
      <c r="B18" s="42"/>
      <c r="C18" s="156"/>
      <c r="D18" s="156"/>
      <c r="F18" s="280"/>
      <c r="G18" s="230"/>
      <c r="H18" s="19"/>
      <c r="I18" s="232"/>
      <c r="K18" s="180"/>
    </row>
    <row r="19" spans="1:11" ht="16" thickBot="1" x14ac:dyDescent="0.25">
      <c r="A19" s="74" t="s">
        <v>103</v>
      </c>
      <c r="B19" s="121">
        <v>0</v>
      </c>
      <c r="F19" s="281"/>
      <c r="G19" s="230"/>
      <c r="H19" s="27"/>
      <c r="I19" s="232"/>
      <c r="K19" s="180"/>
    </row>
    <row r="20" spans="1:11" ht="17" thickBot="1" x14ac:dyDescent="0.25">
      <c r="A20" s="74" t="s">
        <v>104</v>
      </c>
      <c r="B20" s="122">
        <v>0</v>
      </c>
      <c r="F20" s="262" t="s">
        <v>10</v>
      </c>
      <c r="G20" s="263"/>
      <c r="H20" s="263"/>
      <c r="I20" s="112">
        <f>SUM(I4:I19)</f>
        <v>0</v>
      </c>
    </row>
    <row r="21" spans="1:11" ht="16" x14ac:dyDescent="0.2">
      <c r="A21" s="68" t="s">
        <v>102</v>
      </c>
      <c r="B21" s="71" t="s">
        <v>99</v>
      </c>
      <c r="C21" s="72" t="s">
        <v>101</v>
      </c>
      <c r="D21" s="73" t="s">
        <v>100</v>
      </c>
    </row>
    <row r="22" spans="1:11" ht="16" x14ac:dyDescent="0.2">
      <c r="A22" s="69" t="s">
        <v>97</v>
      </c>
      <c r="B22" s="157" t="e" vm="1">
        <v>#VALUE!</v>
      </c>
      <c r="C22" s="66" cm="1">
        <f t="array" aca="1" ref="C22" ca="1">_FV(B22,"Prix")</f>
        <v>9.1760999999999999</v>
      </c>
      <c r="D22" s="75" cm="1">
        <f t="array" aca="1" ref="D22" ca="1">_FV(B22,"Prix")*B20</f>
        <v>0</v>
      </c>
      <c r="E22" s="63"/>
      <c r="J22" s="178"/>
    </row>
    <row r="23" spans="1:11" ht="17" thickBot="1" x14ac:dyDescent="0.25">
      <c r="A23" s="70" t="s">
        <v>98</v>
      </c>
      <c r="B23" s="158" t="e" vm="2">
        <v>#VALUE!</v>
      </c>
      <c r="C23" s="67" cm="1">
        <f t="array" aca="1" ref="C23" ca="1">_FV(B23,"Prix")</f>
        <v>10.824999999999999</v>
      </c>
      <c r="D23" s="76" cm="1">
        <f t="array" aca="1" ref="D23" ca="1">_FV(B23,"Prix")*B19</f>
        <v>0</v>
      </c>
      <c r="E23" s="63"/>
      <c r="J23" s="179"/>
    </row>
    <row r="24" spans="1:11" x14ac:dyDescent="0.2">
      <c r="F24" s="63"/>
      <c r="J24" s="177"/>
    </row>
    <row r="25" spans="1:11" x14ac:dyDescent="0.2">
      <c r="B25" s="44"/>
    </row>
    <row r="26" spans="1:11" ht="18" x14ac:dyDescent="0.2">
      <c r="A26" s="26" t="s">
        <v>135</v>
      </c>
      <c r="B26" s="118">
        <v>1061</v>
      </c>
      <c r="D26" s="99"/>
      <c r="F26" s="63"/>
    </row>
    <row r="27" spans="1:11" ht="19" thickBot="1" x14ac:dyDescent="0.4">
      <c r="B27" s="140"/>
      <c r="D27" s="36"/>
    </row>
    <row r="28" spans="1:11" ht="17" thickBot="1" x14ac:dyDescent="0.25">
      <c r="A28" s="28" t="s">
        <v>40</v>
      </c>
      <c r="B28" s="29">
        <f ca="1">TODAY()</f>
        <v>46078</v>
      </c>
      <c r="C28" s="30">
        <f>B1+C14-D14-I20</f>
        <v>102727.57999999999</v>
      </c>
      <c r="D28" s="82"/>
    </row>
    <row r="29" spans="1:11" ht="16" x14ac:dyDescent="0.2">
      <c r="B29" s="78"/>
      <c r="D29" s="36"/>
      <c r="E29" s="156"/>
    </row>
    <row r="30" spans="1:11" ht="17" thickBot="1" x14ac:dyDescent="0.25">
      <c r="B30" s="78"/>
      <c r="E30" s="275"/>
      <c r="F30" s="276"/>
    </row>
    <row r="31" spans="1:11" ht="20" thickBot="1" x14ac:dyDescent="0.3">
      <c r="A31" s="273" t="s">
        <v>157</v>
      </c>
      <c r="B31" s="274"/>
      <c r="C31" s="170">
        <v>7084.93</v>
      </c>
    </row>
    <row r="32" spans="1:11" ht="17" thickBot="1" x14ac:dyDescent="0.25">
      <c r="B32" s="78"/>
      <c r="C32" s="63"/>
      <c r="E32" s="277"/>
      <c r="F32" s="278"/>
    </row>
    <row r="33" spans="1:10" ht="20" thickBot="1" x14ac:dyDescent="0.3">
      <c r="A33" s="273" t="s">
        <v>158</v>
      </c>
      <c r="B33" s="274"/>
      <c r="C33" s="170">
        <f>C28-C31</f>
        <v>95642.65</v>
      </c>
    </row>
    <row r="35" spans="1:10" x14ac:dyDescent="0.2">
      <c r="A35" s="172" t="s">
        <v>159</v>
      </c>
      <c r="B35" s="173">
        <v>1000</v>
      </c>
    </row>
    <row r="36" spans="1:10" x14ac:dyDescent="0.2">
      <c r="A36" s="172" t="s">
        <v>160</v>
      </c>
      <c r="B36" s="174">
        <v>10000</v>
      </c>
    </row>
    <row r="37" spans="1:10" x14ac:dyDescent="0.2">
      <c r="A37" s="172" t="s">
        <v>163</v>
      </c>
      <c r="B37" s="174">
        <v>0</v>
      </c>
    </row>
    <row r="38" spans="1:10" x14ac:dyDescent="0.2">
      <c r="A38" s="172" t="s">
        <v>166</v>
      </c>
      <c r="B38" s="174">
        <v>0</v>
      </c>
    </row>
    <row r="39" spans="1:10" x14ac:dyDescent="0.2">
      <c r="A39" s="172" t="s">
        <v>167</v>
      </c>
      <c r="B39" s="174">
        <v>0</v>
      </c>
    </row>
    <row r="40" spans="1:10" x14ac:dyDescent="0.2">
      <c r="A40" s="184" t="s">
        <v>184</v>
      </c>
      <c r="B40" s="185">
        <v>17000</v>
      </c>
    </row>
    <row r="41" spans="1:10" x14ac:dyDescent="0.2">
      <c r="F41" s="64"/>
    </row>
    <row r="42" spans="1:10" ht="16" thickBot="1" x14ac:dyDescent="0.25"/>
    <row r="43" spans="1:10" ht="15" customHeight="1" thickTop="1" thickBot="1" x14ac:dyDescent="0.25">
      <c r="A43" s="285" t="s">
        <v>168</v>
      </c>
      <c r="B43" s="286" t="s">
        <v>31</v>
      </c>
      <c r="C43" s="286"/>
      <c r="D43" s="286"/>
      <c r="E43" s="287" t="s">
        <v>48</v>
      </c>
      <c r="F43" s="287"/>
    </row>
    <row r="44" spans="1:10" ht="17" thickTop="1" thickBot="1" x14ac:dyDescent="0.25">
      <c r="A44" s="285"/>
      <c r="B44" s="288"/>
      <c r="C44" s="289"/>
      <c r="D44" s="290"/>
      <c r="E44" s="296"/>
      <c r="F44" s="297"/>
      <c r="J44" s="177"/>
    </row>
    <row r="45" spans="1:10" ht="17" thickTop="1" thickBot="1" x14ac:dyDescent="0.25">
      <c r="B45" s="282"/>
      <c r="C45" s="283"/>
      <c r="D45" s="284"/>
      <c r="E45" s="298"/>
      <c r="F45" s="299"/>
      <c r="J45" s="177"/>
    </row>
    <row r="46" spans="1:10" ht="17" thickTop="1" thickBot="1" x14ac:dyDescent="0.25">
      <c r="B46" s="282"/>
      <c r="C46" s="283"/>
      <c r="D46" s="284"/>
      <c r="E46" s="298"/>
      <c r="F46" s="299"/>
      <c r="J46" s="177"/>
    </row>
    <row r="47" spans="1:10" ht="17" thickTop="1" thickBot="1" x14ac:dyDescent="0.25">
      <c r="B47" s="282"/>
      <c r="C47" s="283"/>
      <c r="D47" s="284"/>
      <c r="E47" s="298"/>
      <c r="F47" s="299"/>
    </row>
    <row r="48" spans="1:10" ht="17" thickTop="1" thickBot="1" x14ac:dyDescent="0.25">
      <c r="B48" s="282"/>
      <c r="C48" s="283"/>
      <c r="D48" s="284"/>
      <c r="E48" s="298"/>
      <c r="F48" s="299"/>
    </row>
    <row r="49" spans="2:6" ht="17" thickTop="1" thickBot="1" x14ac:dyDescent="0.25">
      <c r="B49" s="282"/>
      <c r="C49" s="283"/>
      <c r="D49" s="284"/>
      <c r="E49" s="298"/>
      <c r="F49" s="299"/>
    </row>
    <row r="50" spans="2:6" ht="17" thickTop="1" thickBot="1" x14ac:dyDescent="0.25">
      <c r="B50" s="282"/>
      <c r="C50" s="283"/>
      <c r="D50" s="284"/>
      <c r="E50" s="298"/>
      <c r="F50" s="299"/>
    </row>
    <row r="51" spans="2:6" ht="17" thickTop="1" thickBot="1" x14ac:dyDescent="0.25">
      <c r="B51" s="291"/>
      <c r="C51" s="292"/>
      <c r="D51" s="292"/>
      <c r="E51" s="300"/>
      <c r="F51" s="301"/>
    </row>
    <row r="52" spans="2:6" ht="17" thickTop="1" thickBot="1" x14ac:dyDescent="0.25">
      <c r="B52" s="293"/>
      <c r="C52" s="294"/>
      <c r="D52" s="294"/>
      <c r="E52" s="302"/>
      <c r="F52" s="303"/>
    </row>
    <row r="53" spans="2:6" ht="16" thickTop="1" x14ac:dyDescent="0.2">
      <c r="B53" s="295"/>
      <c r="C53" s="295"/>
      <c r="D53" s="295"/>
    </row>
  </sheetData>
  <sortState xmlns:xlrd2="http://schemas.microsoft.com/office/spreadsheetml/2017/richdata2" ref="F4:I11">
    <sortCondition ref="F4:F11"/>
  </sortState>
  <mergeCells count="29">
    <mergeCell ref="B50:D50"/>
    <mergeCell ref="B51:D51"/>
    <mergeCell ref="B52:D52"/>
    <mergeCell ref="B53:D53"/>
    <mergeCell ref="E44:F44"/>
    <mergeCell ref="E45:F45"/>
    <mergeCell ref="E46:F46"/>
    <mergeCell ref="E47:F47"/>
    <mergeCell ref="E48:F48"/>
    <mergeCell ref="E49:F49"/>
    <mergeCell ref="E50:F50"/>
    <mergeCell ref="E51:F51"/>
    <mergeCell ref="E52:F52"/>
    <mergeCell ref="B45:D45"/>
    <mergeCell ref="B46:D46"/>
    <mergeCell ref="B47:D47"/>
    <mergeCell ref="B48:D48"/>
    <mergeCell ref="B49:D49"/>
    <mergeCell ref="A43:A44"/>
    <mergeCell ref="B43:D43"/>
    <mergeCell ref="E43:F43"/>
    <mergeCell ref="B44:D44"/>
    <mergeCell ref="F20:H20"/>
    <mergeCell ref="K5:N11"/>
    <mergeCell ref="A31:B31"/>
    <mergeCell ref="A33:B33"/>
    <mergeCell ref="E30:F30"/>
    <mergeCell ref="E32:F32"/>
    <mergeCell ref="F4:F19"/>
  </mergeCells>
  <phoneticPr fontId="22" type="noConversion"/>
  <conditionalFormatting sqref="C33">
    <cfRule type="iconSet" priority="1">
      <iconSet iconSet="3Symbols">
        <cfvo type="percent" val="0"/>
        <cfvo type="num" val="0"/>
        <cfvo type="num" val="0" gte="0"/>
      </iconSet>
    </cfRule>
    <cfRule type="colorScale" priority="4">
      <colorScale>
        <cfvo type="num" val="0"/>
        <cfvo type="num" val="0"/>
        <color rgb="FFFF0000"/>
        <color rgb="FF92D050"/>
      </colorScale>
    </cfRule>
  </conditionalFormatting>
  <conditionalFormatting sqref="C31">
    <cfRule type="colorScale" priority="2">
      <colorScale>
        <cfvo type="num" val="0"/>
        <cfvo type="num" val="0"/>
        <color rgb="FF92D050"/>
        <color rgb="FFFFC000"/>
      </colorScale>
    </cfRule>
    <cfRule type="colorScale" priority="3">
      <colorScale>
        <cfvo type="num" val="0"/>
        <cfvo type="num" val="0"/>
        <color rgb="FFFFC000"/>
        <color rgb="FF92D050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ider_la_caisse">
                <anchor moveWithCells="1" sizeWithCells="1">
                  <from>
                    <xdr:col>0</xdr:col>
                    <xdr:colOff>76200</xdr:colOff>
                    <xdr:row>2</xdr:row>
                    <xdr:rowOff>165100</xdr:rowOff>
                  </from>
                  <to>
                    <xdr:col>0</xdr:col>
                    <xdr:colOff>1511300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derLaCaisse">
                <anchor moveWithCells="1" sizeWithCells="1">
                  <from>
                    <xdr:col>0</xdr:col>
                    <xdr:colOff>76200</xdr:colOff>
                    <xdr:row>2</xdr:row>
                    <xdr:rowOff>165100</xdr:rowOff>
                  </from>
                  <to>
                    <xdr:col>0</xdr:col>
                    <xdr:colOff>1511300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Credit">
                <anchor moveWithCells="1" sizeWithCells="1">
                  <from>
                    <xdr:col>6</xdr:col>
                    <xdr:colOff>660400</xdr:colOff>
                    <xdr:row>29</xdr:row>
                    <xdr:rowOff>152400</xdr:rowOff>
                  </from>
                  <to>
                    <xdr:col>7</xdr:col>
                    <xdr:colOff>863600</xdr:colOff>
                    <xdr:row>31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D74BE-7C95-45A3-95EE-7C4ABAC3DC05}">
  <sheetPr codeName="Feuil10">
    <tabColor theme="9"/>
    <pageSetUpPr fitToPage="1"/>
  </sheetPr>
  <dimension ref="A2:M85"/>
  <sheetViews>
    <sheetView showGridLines="0" topLeftCell="A64" zoomScale="150" zoomScaleNormal="100" workbookViewId="0">
      <selection sqref="A1:H85"/>
    </sheetView>
  </sheetViews>
  <sheetFormatPr baseColWidth="10" defaultColWidth="10.83203125" defaultRowHeight="12" x14ac:dyDescent="0.15"/>
  <cols>
    <col min="1" max="2" width="3.6640625" style="100" customWidth="1"/>
    <col min="3" max="3" width="27" style="100" customWidth="1"/>
    <col min="4" max="4" width="45.33203125" style="100" customWidth="1"/>
    <col min="5" max="5" width="15.83203125" style="100" customWidth="1"/>
    <col min="6" max="6" width="20" style="100" customWidth="1"/>
    <col min="7" max="8" width="3.6640625" style="100" customWidth="1"/>
    <col min="9" max="16384" width="10.83203125" style="100"/>
  </cols>
  <sheetData>
    <row r="2" spans="1:13" x14ac:dyDescent="0.15">
      <c r="A2" s="337" t="s">
        <v>119</v>
      </c>
      <c r="B2" s="337"/>
      <c r="C2" s="337"/>
      <c r="D2" s="337"/>
    </row>
    <row r="3" spans="1:13" x14ac:dyDescent="0.15">
      <c r="A3" s="337" t="s">
        <v>129</v>
      </c>
      <c r="B3" s="337"/>
      <c r="C3" s="337"/>
      <c r="D3" s="337"/>
    </row>
    <row r="4" spans="1:13" x14ac:dyDescent="0.15">
      <c r="A4" s="337" t="s">
        <v>120</v>
      </c>
      <c r="B4" s="337"/>
      <c r="C4" s="337"/>
      <c r="D4" s="337"/>
    </row>
    <row r="5" spans="1:13" x14ac:dyDescent="0.15">
      <c r="A5" s="337" t="s">
        <v>121</v>
      </c>
      <c r="B5" s="337"/>
      <c r="C5" s="337"/>
      <c r="D5" s="337"/>
    </row>
    <row r="6" spans="1:13" x14ac:dyDescent="0.15">
      <c r="A6" s="337" t="s">
        <v>122</v>
      </c>
      <c r="B6" s="337"/>
      <c r="C6" s="337"/>
      <c r="D6" s="337"/>
    </row>
    <row r="7" spans="1:13" x14ac:dyDescent="0.15">
      <c r="A7" s="337" t="s">
        <v>123</v>
      </c>
      <c r="B7" s="337"/>
      <c r="C7" s="337"/>
      <c r="D7" s="337"/>
    </row>
    <row r="8" spans="1:13" x14ac:dyDescent="0.15">
      <c r="A8" s="101"/>
      <c r="B8" s="101"/>
      <c r="C8" s="101"/>
    </row>
    <row r="9" spans="1:13" x14ac:dyDescent="0.15">
      <c r="A9" s="101"/>
      <c r="B9" s="101"/>
      <c r="C9" s="101"/>
    </row>
    <row r="10" spans="1:13" x14ac:dyDescent="0.15">
      <c r="A10" s="101"/>
      <c r="B10" s="101"/>
      <c r="C10" s="101"/>
    </row>
    <row r="12" spans="1:13" ht="16" x14ac:dyDescent="0.2">
      <c r="C12" s="338" t="s">
        <v>124</v>
      </c>
      <c r="D12" s="338"/>
      <c r="E12" s="338"/>
      <c r="F12" s="338"/>
    </row>
    <row r="13" spans="1:13" ht="13" x14ac:dyDescent="0.15">
      <c r="C13" s="102"/>
      <c r="D13" s="102"/>
      <c r="E13" s="102"/>
      <c r="F13" s="102"/>
    </row>
    <row r="14" spans="1:13" ht="13" x14ac:dyDescent="0.15">
      <c r="C14" s="102"/>
      <c r="D14" s="102"/>
      <c r="E14" s="102"/>
      <c r="F14" s="102"/>
    </row>
    <row r="15" spans="1:13" ht="13" x14ac:dyDescent="0.15">
      <c r="C15" s="102"/>
      <c r="D15" s="102"/>
      <c r="E15" s="102"/>
      <c r="F15" s="102"/>
    </row>
    <row r="16" spans="1:13" ht="16" x14ac:dyDescent="0.15">
      <c r="C16" s="322" t="s">
        <v>130</v>
      </c>
      <c r="D16" s="322"/>
      <c r="E16" s="111">
        <v>25</v>
      </c>
      <c r="F16" s="102"/>
      <c r="J16" s="103"/>
      <c r="K16" s="104"/>
      <c r="L16" s="103"/>
      <c r="M16" s="105"/>
    </row>
    <row r="17" spans="1:13" ht="13" x14ac:dyDescent="0.15">
      <c r="C17" s="102"/>
      <c r="D17" s="110"/>
      <c r="E17" s="110"/>
      <c r="F17" s="102"/>
      <c r="J17" s="103"/>
      <c r="K17" s="104"/>
      <c r="L17" s="103"/>
      <c r="M17" s="105"/>
    </row>
    <row r="18" spans="1:13" ht="13" x14ac:dyDescent="0.15">
      <c r="C18" s="102"/>
      <c r="D18" s="110"/>
      <c r="E18" s="110"/>
      <c r="F18" s="102"/>
      <c r="J18" s="103"/>
      <c r="K18" s="104"/>
      <c r="L18" s="103"/>
      <c r="M18" s="105"/>
    </row>
    <row r="20" spans="1:13" ht="13" x14ac:dyDescent="0.15">
      <c r="C20" s="103" t="s">
        <v>125</v>
      </c>
      <c r="D20" s="104">
        <v>45778</v>
      </c>
      <c r="E20" s="103" t="s">
        <v>126</v>
      </c>
      <c r="F20" s="105">
        <f ca="1">TODAY()</f>
        <v>46078</v>
      </c>
    </row>
    <row r="21" spans="1:13" ht="13" x14ac:dyDescent="0.15">
      <c r="C21" s="103"/>
      <c r="D21" s="104"/>
      <c r="E21" s="103"/>
      <c r="F21" s="105"/>
    </row>
    <row r="22" spans="1:13" ht="13" x14ac:dyDescent="0.15">
      <c r="C22" s="103"/>
      <c r="D22" s="104"/>
      <c r="E22" s="103"/>
      <c r="F22" s="105"/>
    </row>
    <row r="24" spans="1:13" ht="16" x14ac:dyDescent="0.15">
      <c r="A24" s="347" t="s">
        <v>127</v>
      </c>
      <c r="B24" s="347"/>
      <c r="C24" s="347"/>
      <c r="D24" s="339">
        <f>'the cash register'!B1</f>
        <v>70627.579999999987</v>
      </c>
      <c r="E24" s="339"/>
    </row>
    <row r="25" spans="1:13" ht="16" x14ac:dyDescent="0.15">
      <c r="B25" s="102"/>
      <c r="C25" s="102"/>
      <c r="D25" s="106"/>
      <c r="E25" s="106"/>
    </row>
    <row r="26" spans="1:13" ht="13" thickBot="1" x14ac:dyDescent="0.2"/>
    <row r="27" spans="1:13" ht="14" thickBot="1" x14ac:dyDescent="0.2">
      <c r="B27" s="340" t="s">
        <v>28</v>
      </c>
      <c r="C27" s="341"/>
      <c r="D27" s="344" t="s">
        <v>29</v>
      </c>
      <c r="E27" s="345"/>
      <c r="F27" s="331" t="s">
        <v>30</v>
      </c>
      <c r="G27" s="332"/>
    </row>
    <row r="28" spans="1:13" ht="13" x14ac:dyDescent="0.15">
      <c r="B28" s="342" t="s">
        <v>32</v>
      </c>
      <c r="C28" s="343"/>
      <c r="D28" s="346">
        <f>IF(ISBLANK('the cash register'!C4),"",('the cash register'!C4))</f>
        <v>4500</v>
      </c>
      <c r="E28" s="310"/>
      <c r="F28" s="310" t="str">
        <f>IF(ISBLANK('the cash register'!D4),"",('the cash register'!D4))</f>
        <v/>
      </c>
      <c r="G28" s="311"/>
    </row>
    <row r="29" spans="1:13" ht="13" x14ac:dyDescent="0.15">
      <c r="B29" s="317" t="s">
        <v>33</v>
      </c>
      <c r="C29" s="318"/>
      <c r="D29" s="312">
        <f>IF(ISBLANK('the cash register'!C5),"",('the cash register'!C5))</f>
        <v>2400</v>
      </c>
      <c r="E29" s="313"/>
      <c r="F29" s="310" t="str">
        <f>IF(ISBLANK('the cash register'!D5),"",('the cash register'!D5))</f>
        <v/>
      </c>
      <c r="G29" s="311"/>
    </row>
    <row r="30" spans="1:13" ht="13" x14ac:dyDescent="0.15">
      <c r="B30" s="317" t="s">
        <v>34</v>
      </c>
      <c r="C30" s="318"/>
      <c r="D30" s="312" t="str">
        <f>IF(ISBLANK('the cash register'!C6),"",('the cash register'!C6))</f>
        <v/>
      </c>
      <c r="E30" s="313"/>
      <c r="F30" s="310" t="str">
        <f>IF(ISBLANK('the cash register'!D6),"",('the cash register'!D6))</f>
        <v/>
      </c>
      <c r="G30" s="311"/>
    </row>
    <row r="31" spans="1:13" ht="13" x14ac:dyDescent="0.15">
      <c r="B31" s="317" t="s">
        <v>35</v>
      </c>
      <c r="C31" s="318"/>
      <c r="D31" s="312" t="str">
        <f>IF(ISBLANK('the cash register'!C7),"",('the cash register'!C7))</f>
        <v/>
      </c>
      <c r="E31" s="313"/>
      <c r="F31" s="310" t="str">
        <f>IF(ISBLANK('the cash register'!D7),"",('the cash register'!D7))</f>
        <v/>
      </c>
      <c r="G31" s="311"/>
    </row>
    <row r="32" spans="1:13" ht="13" x14ac:dyDescent="0.15">
      <c r="B32" s="317" t="s">
        <v>36</v>
      </c>
      <c r="C32" s="318"/>
      <c r="D32" s="312">
        <f>IF(ISBLANK('the cash register'!C8),"",('the cash register'!C8))</f>
        <v>5500</v>
      </c>
      <c r="E32" s="313"/>
      <c r="F32" s="310" t="str">
        <f>IF(ISBLANK('the cash register'!D8),"",('the cash register'!D8))</f>
        <v/>
      </c>
      <c r="G32" s="311"/>
    </row>
    <row r="33" spans="2:7" ht="13" x14ac:dyDescent="0.15">
      <c r="B33" s="317" t="s">
        <v>37</v>
      </c>
      <c r="C33" s="318"/>
      <c r="D33" s="312">
        <f>IF(ISBLANK('the cash register'!C9),"",('the cash register'!C9))</f>
        <v>3400</v>
      </c>
      <c r="E33" s="313"/>
      <c r="F33" s="310" t="str">
        <f>IF(ISBLANK('the cash register'!D9),"",('the cash register'!D9))</f>
        <v/>
      </c>
      <c r="G33" s="311"/>
    </row>
    <row r="34" spans="2:7" ht="13" x14ac:dyDescent="0.15">
      <c r="B34" s="317" t="s">
        <v>38</v>
      </c>
      <c r="C34" s="318"/>
      <c r="D34" s="312">
        <f>IF(ISBLANK('the cash register'!C10),"",('the cash register'!C10))</f>
        <v>16300</v>
      </c>
      <c r="E34" s="313"/>
      <c r="F34" s="310" t="str">
        <f>IF(ISBLANK('the cash register'!D10),"",('the cash register'!D10))</f>
        <v/>
      </c>
      <c r="G34" s="311"/>
    </row>
    <row r="35" spans="2:7" ht="13" x14ac:dyDescent="0.15">
      <c r="B35" s="317" t="s">
        <v>46</v>
      </c>
      <c r="C35" s="318"/>
      <c r="D35" s="312" t="str">
        <f>IF(ISBLANK('the cash register'!C11),"",('the cash register'!C11))</f>
        <v/>
      </c>
      <c r="E35" s="313"/>
      <c r="F35" s="310" t="str">
        <f>IF(ISBLANK('the cash register'!D11),"",('the cash register'!D11))</f>
        <v/>
      </c>
      <c r="G35" s="311"/>
    </row>
    <row r="36" spans="2:7" ht="13" x14ac:dyDescent="0.15">
      <c r="B36" s="317" t="s">
        <v>96</v>
      </c>
      <c r="C36" s="318"/>
      <c r="D36" s="333" t="str">
        <f>IF(ISBLANK('the cash register'!C12),"",('the cash register'!C12))</f>
        <v/>
      </c>
      <c r="E36" s="334"/>
      <c r="F36" s="310" t="str">
        <f>IF(ISBLANK('the cash register'!D12),"",('the cash register'!D12))</f>
        <v/>
      </c>
      <c r="G36" s="311"/>
    </row>
    <row r="37" spans="2:7" ht="13" x14ac:dyDescent="0.15">
      <c r="B37" s="317" t="s">
        <v>95</v>
      </c>
      <c r="C37" s="318"/>
      <c r="D37" s="333" t="str">
        <f>IF(ISBLANK('the cash register'!C13),"",('the cash register'!C13))</f>
        <v/>
      </c>
      <c r="E37" s="334"/>
      <c r="F37" s="310" t="str">
        <f>IF(ISBLANK('the cash register'!D13),"",('the cash register'!D13))</f>
        <v/>
      </c>
      <c r="G37" s="311"/>
    </row>
    <row r="38" spans="2:7" ht="14" thickBot="1" x14ac:dyDescent="0.2">
      <c r="B38" s="314" t="s">
        <v>39</v>
      </c>
      <c r="C38" s="315"/>
      <c r="D38" s="319">
        <f>IF(ISBLANK('the cash register'!C14),"",('the cash register'!C14))</f>
        <v>32100</v>
      </c>
      <c r="E38" s="320"/>
      <c r="F38" s="310">
        <f>IF(ISBLANK('the cash register'!D14),"",('the cash register'!D14))</f>
        <v>0</v>
      </c>
      <c r="G38" s="311"/>
    </row>
    <row r="39" spans="2:7" ht="26" customHeight="1" x14ac:dyDescent="0.15"/>
    <row r="40" spans="2:7" x14ac:dyDescent="0.15">
      <c r="C40" s="321" t="str">
        <f>'the cash register'!A26</f>
        <v>The cash register of Hilton :</v>
      </c>
      <c r="D40" s="335">
        <f>'the cash register'!B26</f>
        <v>1061</v>
      </c>
    </row>
    <row r="41" spans="2:7" x14ac:dyDescent="0.15">
      <c r="C41" s="321"/>
      <c r="D41" s="335"/>
    </row>
    <row r="42" spans="2:7" ht="29" customHeight="1" thickBot="1" x14ac:dyDescent="0.2"/>
    <row r="43" spans="2:7" ht="22" customHeight="1" x14ac:dyDescent="0.15">
      <c r="C43" s="329" t="s">
        <v>40</v>
      </c>
      <c r="D43" s="327">
        <f ca="1">TODAY()</f>
        <v>46078</v>
      </c>
      <c r="E43" s="323">
        <f>'the cash register'!C28</f>
        <v>102727.57999999999</v>
      </c>
      <c r="F43" s="324"/>
    </row>
    <row r="44" spans="2:7" ht="13" customHeight="1" thickBot="1" x14ac:dyDescent="0.2">
      <c r="C44" s="330"/>
      <c r="D44" s="328"/>
      <c r="E44" s="325"/>
      <c r="F44" s="326"/>
    </row>
    <row r="45" spans="2:7" ht="13" customHeight="1" x14ac:dyDescent="0.15">
      <c r="C45" s="109"/>
    </row>
    <row r="48" spans="2:7" ht="25" x14ac:dyDescent="0.3">
      <c r="D48" s="316" t="s">
        <v>27</v>
      </c>
      <c r="E48" s="316"/>
    </row>
    <row r="50" spans="3:6" ht="13" thickBot="1" x14ac:dyDescent="0.2"/>
    <row r="51" spans="3:6" ht="14" thickBot="1" x14ac:dyDescent="0.2">
      <c r="C51" s="213" t="s">
        <v>13</v>
      </c>
      <c r="D51" s="214" t="s">
        <v>31</v>
      </c>
      <c r="E51" s="213" t="s">
        <v>196</v>
      </c>
      <c r="F51" s="214" t="s">
        <v>197</v>
      </c>
    </row>
    <row r="52" spans="3:6" ht="16" x14ac:dyDescent="0.15">
      <c r="C52" s="304" t="str">
        <f>IF(ISBLANK('the cash register'!F4),"",('the cash register'!F4))</f>
        <v/>
      </c>
      <c r="D52" s="233" t="str">
        <f>IF(ISBLANK('the cash register'!G4),"",('the cash register'!G4))</f>
        <v/>
      </c>
      <c r="E52" s="113" t="str">
        <f>IF(ISBLANK('the cash register'!H4),"",('the cash register'!H4))</f>
        <v/>
      </c>
      <c r="F52" s="114" t="str">
        <f>IF(ISBLANK('the cash register'!I4),"",('the cash register'!I4))</f>
        <v/>
      </c>
    </row>
    <row r="53" spans="3:6" ht="16" x14ac:dyDescent="0.15">
      <c r="C53" s="305"/>
      <c r="D53" s="234" t="str">
        <f>IF(ISBLANK('the cash register'!G5),"",('the cash register'!G5))</f>
        <v/>
      </c>
      <c r="E53" s="115" t="str">
        <f>IF(ISBLANK('the cash register'!H5),"",('the cash register'!H5))</f>
        <v/>
      </c>
      <c r="F53" s="116" t="str">
        <f>IF(ISBLANK('the cash register'!I5),"",('the cash register'!I5))</f>
        <v/>
      </c>
    </row>
    <row r="54" spans="3:6" ht="16" x14ac:dyDescent="0.15">
      <c r="C54" s="305"/>
      <c r="D54" s="234" t="str">
        <f>IF(ISBLANK('the cash register'!G6),"",('the cash register'!G6))</f>
        <v/>
      </c>
      <c r="E54" s="115" t="str">
        <f>IF(ISBLANK('the cash register'!H6),"",('the cash register'!H6))</f>
        <v/>
      </c>
      <c r="F54" s="116" t="str">
        <f>IF(ISBLANK('the cash register'!I6),"",('the cash register'!I6))</f>
        <v/>
      </c>
    </row>
    <row r="55" spans="3:6" ht="16" x14ac:dyDescent="0.15">
      <c r="C55" s="305"/>
      <c r="D55" s="234" t="str">
        <f>IF(ISBLANK('the cash register'!G7),"",('the cash register'!G7))</f>
        <v/>
      </c>
      <c r="E55" s="115" t="str">
        <f>IF(ISBLANK('the cash register'!H7),"",('the cash register'!H7))</f>
        <v/>
      </c>
      <c r="F55" s="116" t="str">
        <f>IF(ISBLANK('the cash register'!I7),"",('the cash register'!I7))</f>
        <v/>
      </c>
    </row>
    <row r="56" spans="3:6" ht="16" x14ac:dyDescent="0.15">
      <c r="C56" s="305"/>
      <c r="D56" s="234" t="str">
        <f>IF(ISBLANK('the cash register'!G8),"",('the cash register'!G8))</f>
        <v/>
      </c>
      <c r="E56" s="115" t="str">
        <f>IF(ISBLANK('the cash register'!H8),"",('the cash register'!H8))</f>
        <v/>
      </c>
      <c r="F56" s="116" t="str">
        <f>IF(ISBLANK('the cash register'!I8),"",('the cash register'!I8))</f>
        <v/>
      </c>
    </row>
    <row r="57" spans="3:6" ht="16" x14ac:dyDescent="0.15">
      <c r="C57" s="305"/>
      <c r="D57" s="234" t="str">
        <f>IF(ISBLANK('the cash register'!G9),"",('the cash register'!G9))</f>
        <v/>
      </c>
      <c r="E57" s="115" t="str">
        <f>IF(ISBLANK('the cash register'!H9),"",('the cash register'!H9))</f>
        <v/>
      </c>
      <c r="F57" s="116" t="str">
        <f>IF(ISBLANK('the cash register'!I9),"",('the cash register'!I9))</f>
        <v/>
      </c>
    </row>
    <row r="58" spans="3:6" ht="16" x14ac:dyDescent="0.15">
      <c r="C58" s="305"/>
      <c r="D58" s="234" t="str">
        <f>IF(ISBLANK('the cash register'!G10),"",('the cash register'!G10))</f>
        <v/>
      </c>
      <c r="E58" s="115" t="str">
        <f>IF(ISBLANK('the cash register'!H10),"",('the cash register'!H10))</f>
        <v/>
      </c>
      <c r="F58" s="116" t="str">
        <f>IF(ISBLANK('the cash register'!I10),"",('the cash register'!I10))</f>
        <v/>
      </c>
    </row>
    <row r="59" spans="3:6" ht="16" x14ac:dyDescent="0.15">
      <c r="C59" s="305"/>
      <c r="D59" s="234" t="str">
        <f>IF(ISBLANK('the cash register'!G11),"",('the cash register'!G11))</f>
        <v/>
      </c>
      <c r="E59" s="115" t="str">
        <f>IF(ISBLANK('the cash register'!H11),"",('the cash register'!H11))</f>
        <v/>
      </c>
      <c r="F59" s="116" t="str">
        <f>IF(ISBLANK('the cash register'!I11),"",('the cash register'!I11))</f>
        <v/>
      </c>
    </row>
    <row r="60" spans="3:6" ht="16" x14ac:dyDescent="0.15">
      <c r="C60" s="305"/>
      <c r="D60" s="234" t="str">
        <f>IF(ISBLANK('the cash register'!G12),"",('the cash register'!G12))</f>
        <v/>
      </c>
      <c r="E60" s="115" t="str">
        <f>IF(ISBLANK('the cash register'!H12),"",('the cash register'!H12))</f>
        <v/>
      </c>
      <c r="F60" s="116" t="str">
        <f>IF(ISBLANK('the cash register'!I12),"",('the cash register'!I12))</f>
        <v/>
      </c>
    </row>
    <row r="61" spans="3:6" ht="16" x14ac:dyDescent="0.15">
      <c r="C61" s="305"/>
      <c r="D61" s="234" t="str">
        <f>IF(ISBLANK('the cash register'!G13),"",('the cash register'!G13))</f>
        <v/>
      </c>
      <c r="E61" s="115" t="str">
        <f>IF(ISBLANK('the cash register'!H13),"",('the cash register'!H13))</f>
        <v/>
      </c>
      <c r="F61" s="116" t="str">
        <f>IF(ISBLANK('the cash register'!I13),"",('the cash register'!I13))</f>
        <v/>
      </c>
    </row>
    <row r="62" spans="3:6" ht="16" x14ac:dyDescent="0.15">
      <c r="C62" s="305"/>
      <c r="D62" s="234" t="str">
        <f>IF(ISBLANK('the cash register'!G14),"",('the cash register'!G14))</f>
        <v/>
      </c>
      <c r="E62" s="115" t="str">
        <f>IF(ISBLANK('the cash register'!H14),"",('the cash register'!H14))</f>
        <v/>
      </c>
      <c r="F62" s="116" t="str">
        <f>IF(ISBLANK('the cash register'!I14),"",('the cash register'!I14))</f>
        <v/>
      </c>
    </row>
    <row r="63" spans="3:6" ht="16" x14ac:dyDescent="0.15">
      <c r="C63" s="305"/>
      <c r="D63" s="234" t="str">
        <f>IF(ISBLANK('the cash register'!G15),"",('the cash register'!G15))</f>
        <v/>
      </c>
      <c r="E63" s="115" t="str">
        <f>IF(ISBLANK('the cash register'!H15),"",('the cash register'!H15))</f>
        <v/>
      </c>
      <c r="F63" s="116" t="str">
        <f>IF(ISBLANK('the cash register'!I15),"",('the cash register'!I15))</f>
        <v/>
      </c>
    </row>
    <row r="64" spans="3:6" ht="16" x14ac:dyDescent="0.15">
      <c r="C64" s="305"/>
      <c r="D64" s="234" t="str">
        <f>IF(ISBLANK('the cash register'!G16),"",('the cash register'!G16))</f>
        <v/>
      </c>
      <c r="E64" s="115" t="str">
        <f>IF(ISBLANK('the cash register'!H16),"",('the cash register'!H16))</f>
        <v/>
      </c>
      <c r="F64" s="116" t="str">
        <f>IF(ISBLANK('the cash register'!I16),"",('the cash register'!I16))</f>
        <v/>
      </c>
    </row>
    <row r="65" spans="3:6" ht="16" x14ac:dyDescent="0.15">
      <c r="C65" s="305"/>
      <c r="D65" s="234" t="str">
        <f>IF(ISBLANK('the cash register'!G17),"",('the cash register'!G17))</f>
        <v/>
      </c>
      <c r="E65" s="115" t="str">
        <f>IF(ISBLANK('the cash register'!H17),"",('the cash register'!H17))</f>
        <v/>
      </c>
      <c r="F65" s="116" t="str">
        <f>IF(ISBLANK('the cash register'!I17),"",('the cash register'!I17))</f>
        <v/>
      </c>
    </row>
    <row r="66" spans="3:6" ht="16" x14ac:dyDescent="0.15">
      <c r="C66" s="305"/>
      <c r="D66" s="234" t="str">
        <f>IF(ISBLANK('the cash register'!G18),"",('the cash register'!G18))</f>
        <v/>
      </c>
      <c r="E66" s="115" t="str">
        <f>IF(ISBLANK('the cash register'!H18),"",('the cash register'!H18))</f>
        <v/>
      </c>
      <c r="F66" s="116" t="str">
        <f>IF(ISBLANK('the cash register'!I18),"",('the cash register'!I18))</f>
        <v/>
      </c>
    </row>
    <row r="67" spans="3:6" ht="17" thickBot="1" x14ac:dyDescent="0.2">
      <c r="C67" s="306"/>
      <c r="D67" s="234" t="str">
        <f>IF(ISBLANK('the cash register'!G19),"",('the cash register'!G19))</f>
        <v/>
      </c>
      <c r="E67" s="115" t="str">
        <f>IF(ISBLANK('the cash register'!H19),"",('the cash register'!H19))</f>
        <v/>
      </c>
      <c r="F67" s="117" t="str">
        <f>IF(ISBLANK('the cash register'!I19),"",('the cash register'!I19))</f>
        <v/>
      </c>
    </row>
    <row r="68" spans="3:6" ht="14" thickBot="1" x14ac:dyDescent="0.2">
      <c r="C68" s="307" t="s">
        <v>10</v>
      </c>
      <c r="D68" s="308"/>
      <c r="E68" s="309"/>
      <c r="F68" s="107">
        <f>IF(ISBLANK('the cash register'!I20),"",('the cash register'!I20))</f>
        <v>0</v>
      </c>
    </row>
    <row r="73" spans="3:6" ht="20" x14ac:dyDescent="0.25">
      <c r="C73" s="348" t="s">
        <v>128</v>
      </c>
      <c r="D73" s="348"/>
      <c r="E73" s="108"/>
      <c r="F73" s="108"/>
    </row>
    <row r="74" spans="3:6" ht="15.5" customHeight="1" x14ac:dyDescent="0.15">
      <c r="C74" s="336">
        <f>'the cash register'!K5</f>
        <v>0</v>
      </c>
      <c r="D74" s="336"/>
      <c r="E74" s="336"/>
      <c r="F74" s="336"/>
    </row>
    <row r="75" spans="3:6" ht="15.5" customHeight="1" x14ac:dyDescent="0.15">
      <c r="C75" s="336"/>
      <c r="D75" s="336"/>
      <c r="E75" s="336"/>
      <c r="F75" s="336"/>
    </row>
    <row r="76" spans="3:6" ht="14.5" customHeight="1" x14ac:dyDescent="0.15">
      <c r="C76" s="336"/>
      <c r="D76" s="336"/>
      <c r="E76" s="336"/>
      <c r="F76" s="336"/>
    </row>
    <row r="77" spans="3:6" ht="13" customHeight="1" x14ac:dyDescent="0.15">
      <c r="C77" s="336"/>
      <c r="D77" s="336"/>
      <c r="E77" s="336"/>
      <c r="F77" s="336"/>
    </row>
    <row r="78" spans="3:6" ht="13" customHeight="1" x14ac:dyDescent="0.15">
      <c r="C78" s="336"/>
      <c r="D78" s="336"/>
      <c r="E78" s="336"/>
      <c r="F78" s="336"/>
    </row>
    <row r="79" spans="3:6" ht="13" customHeight="1" x14ac:dyDescent="0.15">
      <c r="C79" s="336"/>
      <c r="D79" s="336"/>
      <c r="E79" s="336"/>
      <c r="F79" s="336"/>
    </row>
    <row r="80" spans="3:6" ht="13" customHeight="1" x14ac:dyDescent="0.15">
      <c r="C80" s="336"/>
      <c r="D80" s="336"/>
      <c r="E80" s="336"/>
      <c r="F80" s="336"/>
    </row>
    <row r="81" spans="3:6" x14ac:dyDescent="0.15">
      <c r="C81" s="336"/>
      <c r="D81" s="336"/>
      <c r="E81" s="336"/>
      <c r="F81" s="336"/>
    </row>
    <row r="82" spans="3:6" x14ac:dyDescent="0.15">
      <c r="C82" s="336"/>
      <c r="D82" s="336"/>
      <c r="E82" s="336"/>
      <c r="F82" s="336"/>
    </row>
    <row r="83" spans="3:6" x14ac:dyDescent="0.15">
      <c r="C83" s="336"/>
      <c r="D83" s="336"/>
      <c r="E83" s="336"/>
      <c r="F83" s="336"/>
    </row>
    <row r="84" spans="3:6" x14ac:dyDescent="0.15">
      <c r="C84" s="336"/>
      <c r="D84" s="336"/>
      <c r="E84" s="336"/>
      <c r="F84" s="336"/>
    </row>
    <row r="85" spans="3:6" x14ac:dyDescent="0.15">
      <c r="C85" s="336"/>
      <c r="D85" s="336"/>
      <c r="E85" s="336"/>
      <c r="F85" s="336"/>
    </row>
  </sheetData>
  <mergeCells count="56">
    <mergeCell ref="C74:F85"/>
    <mergeCell ref="A2:D2"/>
    <mergeCell ref="A3:D3"/>
    <mergeCell ref="A4:D4"/>
    <mergeCell ref="A5:D5"/>
    <mergeCell ref="C12:F12"/>
    <mergeCell ref="A6:D6"/>
    <mergeCell ref="A7:D7"/>
    <mergeCell ref="D24:E24"/>
    <mergeCell ref="B27:C27"/>
    <mergeCell ref="B28:C28"/>
    <mergeCell ref="B29:C29"/>
    <mergeCell ref="D27:E27"/>
    <mergeCell ref="D28:E28"/>
    <mergeCell ref="A24:C24"/>
    <mergeCell ref="C73:D73"/>
    <mergeCell ref="D29:E29"/>
    <mergeCell ref="D40:D41"/>
    <mergeCell ref="F33:G33"/>
    <mergeCell ref="F34:G34"/>
    <mergeCell ref="F35:G35"/>
    <mergeCell ref="F36:G36"/>
    <mergeCell ref="F38:G38"/>
    <mergeCell ref="F37:G37"/>
    <mergeCell ref="C40:C41"/>
    <mergeCell ref="C16:D16"/>
    <mergeCell ref="E43:F44"/>
    <mergeCell ref="D43:D44"/>
    <mergeCell ref="C43:C44"/>
    <mergeCell ref="F27:G27"/>
    <mergeCell ref="F28:G28"/>
    <mergeCell ref="F29:G29"/>
    <mergeCell ref="B32:C32"/>
    <mergeCell ref="B30:C30"/>
    <mergeCell ref="B31:C31"/>
    <mergeCell ref="D35:E35"/>
    <mergeCell ref="D36:E36"/>
    <mergeCell ref="D37:E37"/>
    <mergeCell ref="B33:C33"/>
    <mergeCell ref="B34:C34"/>
    <mergeCell ref="C52:C67"/>
    <mergeCell ref="C68:E68"/>
    <mergeCell ref="F30:G30"/>
    <mergeCell ref="F31:G31"/>
    <mergeCell ref="F32:G32"/>
    <mergeCell ref="D30:E30"/>
    <mergeCell ref="D31:E31"/>
    <mergeCell ref="D32:E32"/>
    <mergeCell ref="B38:C38"/>
    <mergeCell ref="D48:E48"/>
    <mergeCell ref="B35:C35"/>
    <mergeCell ref="B36:C36"/>
    <mergeCell ref="D38:E38"/>
    <mergeCell ref="D33:E33"/>
    <mergeCell ref="D34:E34"/>
    <mergeCell ref="B37:C37"/>
  </mergeCells>
  <phoneticPr fontId="22" type="noConversion"/>
  <pageMargins left="0.7" right="0.7" top="0.75" bottom="0.75" header="0.3" footer="0.3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aveAsPDFWithDynamicFileName">
                <anchor moveWithCells="1" sizeWithCells="1">
                  <from>
                    <xdr:col>9</xdr:col>
                    <xdr:colOff>12700</xdr:colOff>
                    <xdr:row>4</xdr:row>
                    <xdr:rowOff>50800</xdr:rowOff>
                  </from>
                  <to>
                    <xdr:col>11</xdr:col>
                    <xdr:colOff>190500</xdr:colOff>
                    <xdr:row>8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A60FD-CA4D-4283-A70D-E78BCCB5ECFD}">
  <sheetPr codeName="Feuil9">
    <tabColor rgb="FF00B050"/>
  </sheetPr>
  <dimension ref="B1:O47"/>
  <sheetViews>
    <sheetView showGridLines="0" topLeftCell="A19" zoomScale="85" zoomScaleNormal="85" workbookViewId="0">
      <selection activeCell="D34" sqref="D34:F35"/>
    </sheetView>
  </sheetViews>
  <sheetFormatPr baseColWidth="10" defaultColWidth="10.83203125" defaultRowHeight="14" x14ac:dyDescent="0.2"/>
  <cols>
    <col min="1" max="1" width="0.83203125" style="45" customWidth="1"/>
    <col min="2" max="2" width="11.5" style="45" customWidth="1"/>
    <col min="3" max="3" width="13.83203125" style="45" customWidth="1"/>
    <col min="4" max="4" width="8" style="45" customWidth="1"/>
    <col min="5" max="5" width="7.5" style="45" customWidth="1"/>
    <col min="6" max="6" width="11.1640625" style="45" customWidth="1"/>
    <col min="7" max="7" width="17.1640625" style="45" customWidth="1"/>
    <col min="8" max="8" width="0.83203125" style="45" customWidth="1"/>
    <col min="9" max="16384" width="10.83203125" style="45"/>
  </cols>
  <sheetData>
    <row r="1" spans="2:7" ht="20" customHeight="1" x14ac:dyDescent="0.2">
      <c r="B1" s="47"/>
      <c r="C1" s="48"/>
      <c r="D1" s="48"/>
      <c r="E1" s="48"/>
      <c r="F1" s="48"/>
      <c r="G1" s="49"/>
    </row>
    <row r="2" spans="2:7" ht="20" customHeight="1" x14ac:dyDescent="0.2">
      <c r="B2" s="50"/>
      <c r="G2" s="51"/>
    </row>
    <row r="3" spans="2:7" ht="20" customHeight="1" x14ac:dyDescent="0.2">
      <c r="B3" s="50"/>
      <c r="G3" s="51"/>
    </row>
    <row r="4" spans="2:7" ht="15" customHeight="1" x14ac:dyDescent="0.2">
      <c r="B4" s="357" t="s">
        <v>57</v>
      </c>
      <c r="C4" s="358"/>
      <c r="D4" s="358"/>
      <c r="E4" s="358"/>
      <c r="F4" s="358"/>
      <c r="G4" s="359"/>
    </row>
    <row r="5" spans="2:7" ht="15" customHeight="1" x14ac:dyDescent="0.2">
      <c r="B5" s="52" t="s">
        <v>58</v>
      </c>
      <c r="C5" s="360">
        <f ca="1">TODAY()</f>
        <v>46078</v>
      </c>
      <c r="D5" s="361"/>
      <c r="E5" s="362"/>
      <c r="F5" s="46" t="s">
        <v>59</v>
      </c>
      <c r="G5" s="61">
        <v>74</v>
      </c>
    </row>
    <row r="6" spans="2:7" ht="9" customHeight="1" x14ac:dyDescent="0.2">
      <c r="B6" s="50"/>
      <c r="G6" s="51"/>
    </row>
    <row r="7" spans="2:7" ht="15" customHeight="1" x14ac:dyDescent="0.2">
      <c r="B7" s="349" t="s">
        <v>60</v>
      </c>
      <c r="C7" s="350"/>
      <c r="D7" s="352"/>
      <c r="E7" s="352"/>
      <c r="F7" s="352"/>
      <c r="G7" s="58" t="s">
        <v>80</v>
      </c>
    </row>
    <row r="8" spans="2:7" ht="15" customHeight="1" x14ac:dyDescent="0.2">
      <c r="B8" s="349" t="s">
        <v>61</v>
      </c>
      <c r="C8" s="350"/>
      <c r="D8" s="352"/>
      <c r="E8" s="352"/>
      <c r="F8" s="352"/>
      <c r="G8" s="58"/>
    </row>
    <row r="9" spans="2:7" ht="9" customHeight="1" x14ac:dyDescent="0.2">
      <c r="B9" s="50"/>
      <c r="D9" s="59"/>
      <c r="E9" s="59"/>
      <c r="F9" s="59"/>
      <c r="G9" s="58"/>
    </row>
    <row r="10" spans="2:7" ht="15" customHeight="1" x14ac:dyDescent="0.2">
      <c r="B10" s="349" t="s">
        <v>62</v>
      </c>
      <c r="C10" s="350"/>
      <c r="D10" s="352"/>
      <c r="E10" s="352"/>
      <c r="F10" s="352"/>
      <c r="G10" s="58" t="s">
        <v>81</v>
      </c>
    </row>
    <row r="11" spans="2:7" ht="15" customHeight="1" x14ac:dyDescent="0.2">
      <c r="B11" s="349" t="s">
        <v>63</v>
      </c>
      <c r="C11" s="350"/>
      <c r="D11" s="352"/>
      <c r="E11" s="352"/>
      <c r="F11" s="352"/>
      <c r="G11" s="58"/>
    </row>
    <row r="12" spans="2:7" ht="9" customHeight="1" x14ac:dyDescent="0.2">
      <c r="B12" s="50"/>
      <c r="D12" s="59"/>
      <c r="E12" s="59"/>
      <c r="F12" s="59"/>
      <c r="G12" s="58"/>
    </row>
    <row r="13" spans="2:7" ht="15" customHeight="1" x14ac:dyDescent="0.2">
      <c r="B13" s="349" t="s">
        <v>64</v>
      </c>
      <c r="C13" s="350"/>
      <c r="D13" s="354"/>
      <c r="E13" s="354"/>
      <c r="F13" s="354"/>
      <c r="G13" s="58" t="s">
        <v>82</v>
      </c>
    </row>
    <row r="14" spans="2:7" ht="15" customHeight="1" x14ac:dyDescent="0.2">
      <c r="B14" s="349" t="s">
        <v>65</v>
      </c>
      <c r="C14" s="350"/>
      <c r="D14" s="354"/>
      <c r="E14" s="354"/>
      <c r="F14" s="354"/>
      <c r="G14" s="58"/>
    </row>
    <row r="15" spans="2:7" ht="9" customHeight="1" x14ac:dyDescent="0.2">
      <c r="B15" s="50"/>
      <c r="D15" s="59"/>
      <c r="E15" s="59"/>
      <c r="F15" s="59"/>
      <c r="G15" s="58"/>
    </row>
    <row r="16" spans="2:7" ht="15" customHeight="1" x14ac:dyDescent="0.2">
      <c r="B16" s="349" t="s">
        <v>66</v>
      </c>
      <c r="C16" s="350"/>
      <c r="D16" s="351"/>
      <c r="E16" s="352"/>
      <c r="F16" s="352"/>
      <c r="G16" s="58" t="s">
        <v>83</v>
      </c>
    </row>
    <row r="17" spans="2:15" ht="15" customHeight="1" x14ac:dyDescent="0.2">
      <c r="B17" s="349" t="s">
        <v>67</v>
      </c>
      <c r="C17" s="350"/>
      <c r="D17" s="351"/>
      <c r="E17" s="352"/>
      <c r="F17" s="352"/>
      <c r="G17" s="58"/>
    </row>
    <row r="18" spans="2:15" ht="9" customHeight="1" x14ac:dyDescent="0.2">
      <c r="B18" s="50"/>
      <c r="D18" s="59"/>
      <c r="E18" s="59"/>
      <c r="F18" s="59"/>
      <c r="G18" s="58"/>
    </row>
    <row r="19" spans="2:15" ht="15" customHeight="1" x14ac:dyDescent="0.2">
      <c r="B19" s="349" t="s">
        <v>68</v>
      </c>
      <c r="C19" s="350"/>
      <c r="D19" s="352"/>
      <c r="E19" s="352"/>
      <c r="F19" s="352"/>
      <c r="G19" s="58" t="s">
        <v>84</v>
      </c>
    </row>
    <row r="20" spans="2:15" ht="15" customHeight="1" x14ac:dyDescent="0.2">
      <c r="B20" s="349" t="s">
        <v>69</v>
      </c>
      <c r="C20" s="350"/>
      <c r="D20" s="352"/>
      <c r="E20" s="352"/>
      <c r="F20" s="352"/>
      <c r="G20" s="58"/>
    </row>
    <row r="21" spans="2:15" ht="9" customHeight="1" x14ac:dyDescent="0.2">
      <c r="B21" s="50"/>
      <c r="D21" s="59"/>
      <c r="E21" s="59"/>
      <c r="F21" s="59"/>
      <c r="G21" s="58"/>
    </row>
    <row r="22" spans="2:15" ht="15" customHeight="1" x14ac:dyDescent="0.2">
      <c r="B22" s="349" t="s">
        <v>70</v>
      </c>
      <c r="C22" s="350"/>
      <c r="D22" s="354"/>
      <c r="E22" s="354"/>
      <c r="F22" s="354"/>
      <c r="G22" s="58" t="s">
        <v>85</v>
      </c>
    </row>
    <row r="23" spans="2:15" ht="15" customHeight="1" x14ac:dyDescent="0.2">
      <c r="B23" s="349" t="s">
        <v>71</v>
      </c>
      <c r="C23" s="350"/>
      <c r="D23" s="354"/>
      <c r="E23" s="354"/>
      <c r="F23" s="354"/>
      <c r="G23" s="58"/>
    </row>
    <row r="24" spans="2:15" ht="9" customHeight="1" x14ac:dyDescent="0.2">
      <c r="B24" s="50"/>
      <c r="D24" s="59"/>
      <c r="E24" s="59"/>
      <c r="F24" s="59"/>
      <c r="G24" s="58"/>
    </row>
    <row r="25" spans="2:15" ht="15" customHeight="1" x14ac:dyDescent="0.2">
      <c r="B25" s="349" t="s">
        <v>72</v>
      </c>
      <c r="C25" s="350"/>
      <c r="D25" s="354"/>
      <c r="E25" s="354"/>
      <c r="F25" s="354"/>
      <c r="G25" s="58" t="s">
        <v>86</v>
      </c>
      <c r="M25" s="60"/>
    </row>
    <row r="26" spans="2:15" ht="15" customHeight="1" x14ac:dyDescent="0.2">
      <c r="B26" s="349" t="s">
        <v>73</v>
      </c>
      <c r="C26" s="350"/>
      <c r="D26" s="354"/>
      <c r="E26" s="354"/>
      <c r="F26" s="354"/>
      <c r="G26" s="58"/>
    </row>
    <row r="27" spans="2:15" ht="9" customHeight="1" x14ac:dyDescent="0.2">
      <c r="B27" s="50"/>
      <c r="D27" s="59"/>
      <c r="E27" s="59"/>
      <c r="F27" s="59"/>
      <c r="G27" s="58"/>
    </row>
    <row r="28" spans="2:15" ht="15" customHeight="1" x14ac:dyDescent="0.2">
      <c r="B28" s="349" t="s">
        <v>74</v>
      </c>
      <c r="C28" s="350"/>
      <c r="D28" s="353"/>
      <c r="E28" s="353"/>
      <c r="F28" s="353"/>
      <c r="G28" s="58" t="s">
        <v>87</v>
      </c>
      <c r="O28" s="60"/>
    </row>
    <row r="29" spans="2:15" ht="15" customHeight="1" x14ac:dyDescent="0.2">
      <c r="B29" s="349" t="s">
        <v>75</v>
      </c>
      <c r="C29" s="350"/>
      <c r="D29" s="355"/>
      <c r="E29" s="356"/>
      <c r="F29" s="356"/>
      <c r="G29" s="58"/>
    </row>
    <row r="30" spans="2:15" ht="9" customHeight="1" x14ac:dyDescent="0.2">
      <c r="B30" s="53"/>
      <c r="C30" s="54"/>
      <c r="D30" s="59"/>
      <c r="E30" s="59"/>
      <c r="F30" s="59"/>
      <c r="G30" s="58"/>
    </row>
    <row r="31" spans="2:15" ht="15" customHeight="1" x14ac:dyDescent="0.2">
      <c r="B31" s="349" t="s">
        <v>76</v>
      </c>
      <c r="C31" s="350"/>
      <c r="D31" s="354"/>
      <c r="E31" s="354"/>
      <c r="F31" s="354"/>
      <c r="G31" s="58" t="s">
        <v>88</v>
      </c>
    </row>
    <row r="32" spans="2:15" ht="15" customHeight="1" x14ac:dyDescent="0.2">
      <c r="B32" s="349" t="s">
        <v>77</v>
      </c>
      <c r="C32" s="350"/>
      <c r="D32" s="354"/>
      <c r="E32" s="354"/>
      <c r="F32" s="354"/>
      <c r="G32" s="58"/>
    </row>
    <row r="33" spans="2:7" ht="9" customHeight="1" x14ac:dyDescent="0.2">
      <c r="B33" s="53"/>
      <c r="C33" s="54"/>
      <c r="D33" s="59"/>
      <c r="E33" s="59"/>
      <c r="F33" s="59"/>
      <c r="G33" s="58"/>
    </row>
    <row r="34" spans="2:7" ht="15" customHeight="1" x14ac:dyDescent="0.2">
      <c r="B34" s="349" t="s">
        <v>78</v>
      </c>
      <c r="C34" s="350"/>
      <c r="D34" s="352"/>
      <c r="E34" s="352"/>
      <c r="F34" s="352"/>
      <c r="G34" s="58" t="s">
        <v>89</v>
      </c>
    </row>
    <row r="35" spans="2:7" ht="15" customHeight="1" x14ac:dyDescent="0.2">
      <c r="B35" s="349" t="s">
        <v>79</v>
      </c>
      <c r="C35" s="350"/>
      <c r="D35" s="352"/>
      <c r="E35" s="352"/>
      <c r="F35" s="352"/>
      <c r="G35" s="58"/>
    </row>
    <row r="36" spans="2:7" ht="15" customHeight="1" x14ac:dyDescent="0.2">
      <c r="B36" s="50"/>
      <c r="G36" s="51"/>
    </row>
    <row r="37" spans="2:7" ht="15" customHeight="1" x14ac:dyDescent="0.2">
      <c r="B37" s="50"/>
      <c r="G37" s="51"/>
    </row>
    <row r="38" spans="2:7" ht="15" customHeight="1" x14ac:dyDescent="0.2">
      <c r="B38" s="50"/>
      <c r="G38" s="51"/>
    </row>
    <row r="39" spans="2:7" ht="15" customHeight="1" x14ac:dyDescent="0.2">
      <c r="B39" s="50"/>
      <c r="G39" s="51"/>
    </row>
    <row r="40" spans="2:7" ht="15" customHeight="1" x14ac:dyDescent="0.2">
      <c r="B40" s="50"/>
      <c r="G40" s="51"/>
    </row>
    <row r="41" spans="2:7" ht="15" customHeight="1" thickBot="1" x14ac:dyDescent="0.25">
      <c r="B41" s="55"/>
      <c r="C41" s="56"/>
      <c r="D41" s="56"/>
      <c r="E41" s="56"/>
      <c r="F41" s="56"/>
      <c r="G41" s="57"/>
    </row>
    <row r="42" spans="2:7" ht="15" customHeight="1" x14ac:dyDescent="0.2"/>
    <row r="43" spans="2:7" ht="15" customHeight="1" x14ac:dyDescent="0.2"/>
    <row r="44" spans="2:7" ht="15" customHeight="1" x14ac:dyDescent="0.2"/>
    <row r="45" spans="2:7" ht="15" customHeight="1" x14ac:dyDescent="0.2"/>
    <row r="46" spans="2:7" ht="15" customHeight="1" x14ac:dyDescent="0.2"/>
    <row r="47" spans="2:7" ht="15" customHeight="1" x14ac:dyDescent="0.2"/>
  </sheetData>
  <mergeCells count="34">
    <mergeCell ref="D16:F16"/>
    <mergeCell ref="B4:G4"/>
    <mergeCell ref="D19:F20"/>
    <mergeCell ref="D22:F23"/>
    <mergeCell ref="D25:F26"/>
    <mergeCell ref="D7:F8"/>
    <mergeCell ref="D10:F11"/>
    <mergeCell ref="D13:F14"/>
    <mergeCell ref="B23:C23"/>
    <mergeCell ref="B25:C25"/>
    <mergeCell ref="B26:C26"/>
    <mergeCell ref="C5:E5"/>
    <mergeCell ref="B7:C7"/>
    <mergeCell ref="B8:C8"/>
    <mergeCell ref="B10:C10"/>
    <mergeCell ref="B11:C11"/>
    <mergeCell ref="B31:C31"/>
    <mergeCell ref="B34:C34"/>
    <mergeCell ref="D17:F17"/>
    <mergeCell ref="D28:F28"/>
    <mergeCell ref="D34:F35"/>
    <mergeCell ref="D31:F32"/>
    <mergeCell ref="B28:C28"/>
    <mergeCell ref="B35:C35"/>
    <mergeCell ref="B20:C20"/>
    <mergeCell ref="B22:C22"/>
    <mergeCell ref="B29:C29"/>
    <mergeCell ref="B32:C32"/>
    <mergeCell ref="D29:F29"/>
    <mergeCell ref="B13:C13"/>
    <mergeCell ref="B14:C14"/>
    <mergeCell ref="B16:C16"/>
    <mergeCell ref="B17:C17"/>
    <mergeCell ref="B19:C19"/>
  </mergeCells>
  <dataValidations count="1">
    <dataValidation type="list" allowBlank="1" showInputMessage="1" showErrorMessage="1" sqref="D34:F35" xr:uid="{A6CC751C-F966-4466-9879-3463E2912DA3}">
      <formula1>"HR 09TH N°03,HR 09TH N°05,HR 09TH N°11,HR 10TH N°11,HR 10TH N°13,HR 11TH N°13,HR 12TH N°11,City Center Ra1 N°5B"</formula1>
    </dataValidation>
  </dataValidations>
  <pageMargins left="3.937007874015748E-2" right="0" top="0" bottom="0" header="0" footer="0"/>
  <pageSetup paperSize="1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euil9.fiche_police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25400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16</vt:i4>
      </vt:variant>
    </vt:vector>
  </HeadingPairs>
  <TitlesOfParts>
    <vt:vector size="16" baseType="lpstr"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Septembre</vt:lpstr>
      <vt:lpstr>October</vt:lpstr>
      <vt:lpstr>Novembre</vt:lpstr>
      <vt:lpstr>December</vt:lpstr>
      <vt:lpstr>BALANCE</vt:lpstr>
      <vt:lpstr>the cash register</vt:lpstr>
      <vt:lpstr>Report</vt:lpstr>
      <vt:lpstr>Fiche de Police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Amine Dardour</dc:creator>
  <cp:lastModifiedBy>Casa Di Lusso</cp:lastModifiedBy>
  <cp:lastPrinted>2026-02-24T12:12:09Z</cp:lastPrinted>
  <dcterms:created xsi:type="dcterms:W3CDTF">2022-12-05T08:54:15Z</dcterms:created>
  <dcterms:modified xsi:type="dcterms:W3CDTF">2026-02-25T15:55:53Z</dcterms:modified>
</cp:coreProperties>
</file>